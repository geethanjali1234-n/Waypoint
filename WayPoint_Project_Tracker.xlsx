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pragnapaduchuri/Desktop/Waypoint/"/>
    </mc:Choice>
  </mc:AlternateContent>
  <xr:revisionPtr revIDLastSave="0" documentId="8_{E46D7695-A321-4641-9BB9-DCE0E7463CF6}" xr6:coauthVersionLast="47" xr6:coauthVersionMax="47" xr10:uidLastSave="{00000000-0000-0000-0000-000000000000}"/>
  <bookViews>
    <workbookView xWindow="0" yWindow="760" windowWidth="24520" windowHeight="16720" tabRatio="500" activeTab="1" xr2:uid="{00000000-000D-0000-FFFF-FFFF00000000}"/>
  </bookViews>
  <sheets>
    <sheet name="Home Dashboard" sheetId="1" r:id="rId1"/>
    <sheet name="Tickets" sheetId="2" r:id="rId2"/>
    <sheet name="Team Members" sheetId="3" r:id="rId3"/>
    <sheet name="Kanban Board" sheetId="4" r:id="rId4"/>
    <sheet name="Workload Dashboard" sheetId="5" r:id="rId5"/>
    <sheet name="Reports &amp; Charts" sheetId="6" r:id="rId6"/>
    <sheet name="Lookup Values" sheetId="7" r:id="rId7"/>
    <sheet name="Instructions" sheetId="8" r:id="rId8"/>
  </sheets>
  <definedNames>
    <definedName name="LU_Modules">OFFSET('Lookup Values'!$G$2,0,0,COUNTA('Lookup Values'!$G$2:$G$1000),1)</definedName>
    <definedName name="LU_Statuses">OFFSET('Lookup Values'!$C$2,0,0,COUNTA('Lookup Values'!$C$2:$C$1000),1)</definedName>
    <definedName name="LU_StoryPoints">OFFSET('Lookup Values'!$E$2,0,0,COUNTA('Lookup Values'!$E$2:$E$1000),1)</definedName>
    <definedName name="LU_Types">OFFSET('Lookup Values'!$A$2,0,0,COUNTA('Lookup Values'!$A$2:$A$1000),1)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5" l="1" a="1"/>
  <c r="A12" i="5" s="1"/>
  <c r="A11" i="5" a="1"/>
  <c r="A11" i="5" s="1"/>
  <c r="A10" i="5"/>
  <c r="H10" i="5" s="1"/>
  <c r="A10" i="5" a="1"/>
  <c r="A9" i="5" a="1"/>
  <c r="A9" i="5" s="1"/>
  <c r="A8" i="5" a="1"/>
  <c r="A8" i="5" s="1"/>
  <c r="A7" i="5" a="1"/>
  <c r="A7" i="5" s="1"/>
  <c r="A6" i="5"/>
  <c r="H6" i="5" s="1"/>
  <c r="A6" i="5" a="1"/>
  <c r="A5" i="5" a="1"/>
  <c r="A5" i="5" s="1"/>
  <c r="A4" i="5" a="1"/>
  <c r="A4" i="5" s="1"/>
  <c r="I168" i="4"/>
  <c r="G168" i="4"/>
  <c r="E168" i="4"/>
  <c r="C168" i="4"/>
  <c r="A168" i="4"/>
  <c r="I167" i="4"/>
  <c r="G167" i="4"/>
  <c r="E167" i="4"/>
  <c r="C167" i="4"/>
  <c r="A167" i="4"/>
  <c r="I166" i="4"/>
  <c r="G166" i="4"/>
  <c r="E166" i="4"/>
  <c r="C166" i="4"/>
  <c r="A166" i="4"/>
  <c r="I165" i="4"/>
  <c r="G165" i="4"/>
  <c r="E165" i="4"/>
  <c r="C165" i="4"/>
  <c r="A165" i="4"/>
  <c r="I164" i="4"/>
  <c r="G164" i="4"/>
  <c r="E164" i="4"/>
  <c r="C164" i="4"/>
  <c r="A164" i="4"/>
  <c r="I163" i="4"/>
  <c r="G163" i="4"/>
  <c r="E163" i="4"/>
  <c r="C163" i="4"/>
  <c r="A163" i="4"/>
  <c r="I162" i="4"/>
  <c r="G162" i="4"/>
  <c r="E162" i="4"/>
  <c r="C162" i="4"/>
  <c r="A162" i="4"/>
  <c r="I161" i="4"/>
  <c r="G161" i="4"/>
  <c r="E161" i="4"/>
  <c r="C161" i="4"/>
  <c r="A161" i="4"/>
  <c r="I160" i="4"/>
  <c r="G160" i="4"/>
  <c r="E160" i="4"/>
  <c r="C160" i="4"/>
  <c r="A160" i="4"/>
  <c r="I159" i="4"/>
  <c r="G159" i="4"/>
  <c r="E159" i="4"/>
  <c r="C159" i="4"/>
  <c r="A159" i="4"/>
  <c r="I158" i="4"/>
  <c r="G158" i="4"/>
  <c r="E158" i="4"/>
  <c r="C158" i="4"/>
  <c r="A158" i="4"/>
  <c r="I157" i="4"/>
  <c r="G157" i="4"/>
  <c r="E157" i="4"/>
  <c r="C157" i="4"/>
  <c r="A157" i="4"/>
  <c r="I156" i="4"/>
  <c r="G156" i="4"/>
  <c r="E156" i="4"/>
  <c r="C156" i="4"/>
  <c r="A156" i="4"/>
  <c r="I155" i="4"/>
  <c r="G155" i="4"/>
  <c r="E155" i="4"/>
  <c r="C155" i="4"/>
  <c r="A155" i="4"/>
  <c r="I154" i="4"/>
  <c r="G154" i="4"/>
  <c r="E154" i="4"/>
  <c r="C154" i="4"/>
  <c r="A154" i="4"/>
  <c r="I153" i="4"/>
  <c r="G153" i="4"/>
  <c r="E153" i="4"/>
  <c r="C153" i="4"/>
  <c r="A153" i="4"/>
  <c r="I152" i="4"/>
  <c r="G152" i="4"/>
  <c r="E152" i="4"/>
  <c r="C152" i="4"/>
  <c r="A152" i="4"/>
  <c r="I151" i="4"/>
  <c r="G151" i="4"/>
  <c r="E151" i="4"/>
  <c r="C151" i="4"/>
  <c r="A151" i="4"/>
  <c r="I150" i="4"/>
  <c r="G150" i="4"/>
  <c r="E150" i="4"/>
  <c r="C150" i="4"/>
  <c r="A150" i="4"/>
  <c r="I149" i="4"/>
  <c r="G149" i="4"/>
  <c r="E149" i="4"/>
  <c r="C149" i="4"/>
  <c r="A149" i="4"/>
  <c r="I148" i="4"/>
  <c r="G148" i="4"/>
  <c r="E148" i="4"/>
  <c r="C148" i="4"/>
  <c r="A148" i="4"/>
  <c r="I147" i="4"/>
  <c r="G147" i="4"/>
  <c r="E147" i="4"/>
  <c r="C147" i="4"/>
  <c r="A147" i="4"/>
  <c r="I146" i="4"/>
  <c r="G146" i="4"/>
  <c r="E146" i="4"/>
  <c r="C146" i="4"/>
  <c r="A146" i="4"/>
  <c r="I145" i="4"/>
  <c r="G145" i="4"/>
  <c r="E145" i="4"/>
  <c r="C145" i="4"/>
  <c r="A145" i="4"/>
  <c r="I144" i="4"/>
  <c r="G144" i="4"/>
  <c r="E144" i="4"/>
  <c r="C144" i="4"/>
  <c r="A144" i="4"/>
  <c r="I143" i="4"/>
  <c r="G143" i="4"/>
  <c r="E143" i="4"/>
  <c r="C143" i="4"/>
  <c r="A143" i="4"/>
  <c r="I142" i="4"/>
  <c r="G142" i="4"/>
  <c r="E142" i="4"/>
  <c r="C142" i="4"/>
  <c r="A142" i="4"/>
  <c r="I141" i="4"/>
  <c r="G141" i="4"/>
  <c r="E141" i="4"/>
  <c r="C141" i="4"/>
  <c r="A141" i="4"/>
  <c r="I140" i="4"/>
  <c r="G140" i="4"/>
  <c r="E140" i="4"/>
  <c r="C140" i="4"/>
  <c r="A140" i="4"/>
  <c r="I139" i="4"/>
  <c r="G139" i="4"/>
  <c r="E139" i="4"/>
  <c r="C139" i="4"/>
  <c r="A139" i="4"/>
  <c r="I138" i="4"/>
  <c r="G138" i="4"/>
  <c r="E138" i="4"/>
  <c r="C138" i="4"/>
  <c r="A138" i="4"/>
  <c r="I137" i="4"/>
  <c r="G137" i="4"/>
  <c r="E137" i="4"/>
  <c r="C137" i="4"/>
  <c r="A137" i="4"/>
  <c r="I136" i="4"/>
  <c r="G136" i="4"/>
  <c r="E136" i="4"/>
  <c r="C136" i="4"/>
  <c r="A136" i="4"/>
  <c r="I135" i="4"/>
  <c r="G135" i="4"/>
  <c r="E135" i="4"/>
  <c r="C135" i="4"/>
  <c r="A135" i="4"/>
  <c r="I134" i="4"/>
  <c r="G134" i="4"/>
  <c r="E134" i="4"/>
  <c r="C134" i="4"/>
  <c r="A134" i="4"/>
  <c r="I133" i="4"/>
  <c r="G133" i="4"/>
  <c r="E133" i="4"/>
  <c r="C133" i="4"/>
  <c r="A133" i="4"/>
  <c r="I132" i="4"/>
  <c r="G132" i="4"/>
  <c r="E132" i="4"/>
  <c r="C132" i="4"/>
  <c r="A132" i="4"/>
  <c r="I131" i="4"/>
  <c r="G131" i="4"/>
  <c r="E131" i="4"/>
  <c r="C131" i="4"/>
  <c r="A131" i="4"/>
  <c r="I130" i="4"/>
  <c r="G130" i="4"/>
  <c r="E130" i="4"/>
  <c r="C130" i="4"/>
  <c r="A130" i="4"/>
  <c r="I129" i="4"/>
  <c r="G129" i="4"/>
  <c r="E129" i="4"/>
  <c r="C129" i="4"/>
  <c r="A129" i="4"/>
  <c r="I128" i="4"/>
  <c r="G128" i="4"/>
  <c r="E128" i="4"/>
  <c r="C128" i="4"/>
  <c r="A128" i="4"/>
  <c r="I127" i="4"/>
  <c r="G127" i="4"/>
  <c r="E127" i="4"/>
  <c r="C127" i="4"/>
  <c r="A127" i="4"/>
  <c r="I126" i="4"/>
  <c r="G126" i="4"/>
  <c r="E126" i="4"/>
  <c r="C126" i="4"/>
  <c r="A126" i="4"/>
  <c r="I125" i="4"/>
  <c r="G125" i="4"/>
  <c r="E125" i="4"/>
  <c r="C125" i="4"/>
  <c r="A125" i="4"/>
  <c r="I124" i="4"/>
  <c r="G124" i="4"/>
  <c r="E124" i="4"/>
  <c r="C124" i="4"/>
  <c r="A124" i="4"/>
  <c r="I123" i="4"/>
  <c r="G123" i="4"/>
  <c r="E123" i="4"/>
  <c r="C123" i="4"/>
  <c r="A123" i="4"/>
  <c r="I122" i="4"/>
  <c r="G122" i="4"/>
  <c r="E122" i="4"/>
  <c r="C122" i="4"/>
  <c r="A122" i="4"/>
  <c r="I121" i="4"/>
  <c r="G121" i="4"/>
  <c r="E121" i="4"/>
  <c r="C121" i="4"/>
  <c r="A121" i="4"/>
  <c r="I120" i="4"/>
  <c r="G120" i="4"/>
  <c r="E120" i="4"/>
  <c r="C120" i="4"/>
  <c r="A120" i="4"/>
  <c r="I119" i="4"/>
  <c r="G119" i="4"/>
  <c r="E119" i="4"/>
  <c r="C119" i="4"/>
  <c r="A119" i="4"/>
  <c r="I118" i="4"/>
  <c r="G118" i="4"/>
  <c r="E118" i="4"/>
  <c r="C118" i="4"/>
  <c r="A118" i="4"/>
  <c r="I117" i="4"/>
  <c r="G117" i="4"/>
  <c r="E117" i="4"/>
  <c r="C117" i="4"/>
  <c r="A117" i="4"/>
  <c r="I116" i="4"/>
  <c r="G116" i="4"/>
  <c r="E116" i="4"/>
  <c r="C116" i="4"/>
  <c r="A116" i="4"/>
  <c r="I115" i="4"/>
  <c r="G115" i="4"/>
  <c r="E115" i="4"/>
  <c r="C115" i="4"/>
  <c r="A115" i="4"/>
  <c r="I114" i="4"/>
  <c r="G114" i="4"/>
  <c r="E114" i="4"/>
  <c r="C114" i="4"/>
  <c r="A114" i="4"/>
  <c r="I113" i="4"/>
  <c r="G113" i="4"/>
  <c r="E113" i="4"/>
  <c r="C113" i="4"/>
  <c r="A113" i="4"/>
  <c r="I112" i="4"/>
  <c r="G112" i="4"/>
  <c r="E112" i="4"/>
  <c r="C112" i="4"/>
  <c r="A112" i="4"/>
  <c r="I111" i="4"/>
  <c r="G111" i="4"/>
  <c r="E111" i="4"/>
  <c r="C111" i="4"/>
  <c r="A111" i="4"/>
  <c r="I110" i="4"/>
  <c r="G110" i="4"/>
  <c r="E110" i="4"/>
  <c r="C110" i="4"/>
  <c r="A110" i="4"/>
  <c r="I109" i="4"/>
  <c r="G109" i="4"/>
  <c r="E109" i="4"/>
  <c r="C109" i="4"/>
  <c r="A109" i="4"/>
  <c r="I108" i="4"/>
  <c r="G108" i="4"/>
  <c r="E108" i="4"/>
  <c r="C108" i="4"/>
  <c r="A108" i="4"/>
  <c r="I107" i="4"/>
  <c r="G107" i="4"/>
  <c r="E107" i="4"/>
  <c r="C107" i="4"/>
  <c r="A107" i="4"/>
  <c r="I106" i="4"/>
  <c r="G106" i="4"/>
  <c r="E106" i="4"/>
  <c r="C106" i="4"/>
  <c r="A106" i="4"/>
  <c r="I105" i="4"/>
  <c r="G105" i="4"/>
  <c r="E105" i="4"/>
  <c r="C105" i="4"/>
  <c r="A105" i="4"/>
  <c r="I104" i="4"/>
  <c r="G104" i="4"/>
  <c r="E104" i="4"/>
  <c r="C104" i="4"/>
  <c r="A104" i="4"/>
  <c r="I103" i="4"/>
  <c r="G103" i="4"/>
  <c r="E103" i="4"/>
  <c r="C103" i="4"/>
  <c r="A103" i="4"/>
  <c r="I102" i="4"/>
  <c r="G102" i="4"/>
  <c r="E102" i="4"/>
  <c r="C102" i="4"/>
  <c r="A102" i="4"/>
  <c r="I101" i="4"/>
  <c r="G101" i="4"/>
  <c r="E101" i="4"/>
  <c r="C101" i="4"/>
  <c r="A101" i="4"/>
  <c r="I100" i="4"/>
  <c r="G100" i="4"/>
  <c r="E100" i="4"/>
  <c r="C100" i="4"/>
  <c r="A100" i="4"/>
  <c r="I99" i="4"/>
  <c r="G99" i="4"/>
  <c r="E99" i="4"/>
  <c r="C99" i="4"/>
  <c r="A99" i="4"/>
  <c r="I98" i="4"/>
  <c r="G98" i="4"/>
  <c r="E98" i="4"/>
  <c r="C98" i="4"/>
  <c r="A98" i="4"/>
  <c r="I97" i="4"/>
  <c r="G97" i="4"/>
  <c r="E97" i="4"/>
  <c r="C97" i="4"/>
  <c r="A97" i="4"/>
  <c r="I96" i="4"/>
  <c r="G96" i="4"/>
  <c r="E96" i="4"/>
  <c r="C96" i="4"/>
  <c r="A96" i="4"/>
  <c r="I95" i="4"/>
  <c r="G95" i="4"/>
  <c r="E95" i="4"/>
  <c r="C95" i="4"/>
  <c r="A95" i="4"/>
  <c r="I94" i="4"/>
  <c r="G94" i="4"/>
  <c r="E94" i="4"/>
  <c r="C94" i="4"/>
  <c r="A94" i="4"/>
  <c r="I93" i="4"/>
  <c r="G93" i="4"/>
  <c r="E93" i="4"/>
  <c r="C93" i="4"/>
  <c r="A93" i="4"/>
  <c r="I92" i="4"/>
  <c r="G92" i="4"/>
  <c r="E92" i="4"/>
  <c r="C92" i="4"/>
  <c r="A92" i="4"/>
  <c r="I91" i="4"/>
  <c r="G91" i="4"/>
  <c r="E91" i="4"/>
  <c r="C91" i="4"/>
  <c r="A91" i="4"/>
  <c r="I90" i="4"/>
  <c r="G90" i="4"/>
  <c r="E90" i="4"/>
  <c r="C90" i="4"/>
  <c r="A90" i="4"/>
  <c r="I89" i="4"/>
  <c r="G89" i="4"/>
  <c r="E89" i="4"/>
  <c r="C89" i="4"/>
  <c r="A89" i="4"/>
  <c r="I88" i="4"/>
  <c r="G88" i="4"/>
  <c r="E88" i="4"/>
  <c r="C88" i="4"/>
  <c r="A88" i="4"/>
  <c r="I87" i="4"/>
  <c r="G87" i="4"/>
  <c r="E87" i="4"/>
  <c r="C87" i="4"/>
  <c r="A87" i="4"/>
  <c r="I86" i="4"/>
  <c r="G86" i="4"/>
  <c r="E86" i="4"/>
  <c r="C86" i="4"/>
  <c r="A86" i="4"/>
  <c r="I85" i="4"/>
  <c r="G85" i="4"/>
  <c r="E85" i="4"/>
  <c r="C85" i="4"/>
  <c r="A85" i="4"/>
  <c r="I84" i="4"/>
  <c r="G84" i="4"/>
  <c r="E84" i="4"/>
  <c r="C84" i="4"/>
  <c r="A84" i="4"/>
  <c r="I83" i="4"/>
  <c r="G83" i="4"/>
  <c r="E83" i="4"/>
  <c r="C83" i="4"/>
  <c r="A83" i="4"/>
  <c r="I82" i="4"/>
  <c r="G82" i="4"/>
  <c r="E82" i="4"/>
  <c r="C82" i="4"/>
  <c r="A82" i="4"/>
  <c r="I81" i="4"/>
  <c r="G81" i="4"/>
  <c r="E81" i="4"/>
  <c r="C81" i="4"/>
  <c r="A81" i="4"/>
  <c r="I80" i="4"/>
  <c r="G80" i="4"/>
  <c r="E80" i="4"/>
  <c r="C80" i="4"/>
  <c r="A80" i="4"/>
  <c r="I79" i="4"/>
  <c r="G79" i="4"/>
  <c r="E79" i="4"/>
  <c r="C79" i="4"/>
  <c r="A79" i="4"/>
  <c r="I78" i="4"/>
  <c r="G78" i="4"/>
  <c r="E78" i="4"/>
  <c r="C78" i="4"/>
  <c r="A78" i="4"/>
  <c r="I77" i="4"/>
  <c r="G77" i="4"/>
  <c r="E77" i="4"/>
  <c r="C77" i="4"/>
  <c r="A77" i="4"/>
  <c r="I76" i="4"/>
  <c r="G76" i="4"/>
  <c r="E76" i="4"/>
  <c r="C76" i="4"/>
  <c r="A76" i="4"/>
  <c r="I75" i="4"/>
  <c r="G75" i="4"/>
  <c r="E75" i="4"/>
  <c r="C75" i="4"/>
  <c r="A75" i="4"/>
  <c r="I74" i="4"/>
  <c r="G74" i="4"/>
  <c r="E74" i="4"/>
  <c r="C74" i="4"/>
  <c r="A74" i="4"/>
  <c r="I73" i="4"/>
  <c r="G73" i="4"/>
  <c r="E73" i="4"/>
  <c r="C73" i="4"/>
  <c r="A73" i="4"/>
  <c r="I72" i="4"/>
  <c r="G72" i="4"/>
  <c r="E72" i="4"/>
  <c r="C72" i="4"/>
  <c r="A72" i="4"/>
  <c r="I71" i="4"/>
  <c r="G71" i="4"/>
  <c r="E71" i="4"/>
  <c r="C71" i="4"/>
  <c r="A71" i="4"/>
  <c r="I70" i="4"/>
  <c r="G70" i="4"/>
  <c r="E70" i="4"/>
  <c r="C70" i="4"/>
  <c r="A70" i="4"/>
  <c r="I69" i="4"/>
  <c r="G69" i="4"/>
  <c r="E69" i="4"/>
  <c r="C69" i="4"/>
  <c r="A69" i="4"/>
  <c r="I68" i="4"/>
  <c r="G68" i="4"/>
  <c r="E68" i="4"/>
  <c r="C68" i="4"/>
  <c r="A68" i="4"/>
  <c r="I67" i="4"/>
  <c r="G67" i="4"/>
  <c r="E67" i="4"/>
  <c r="C67" i="4"/>
  <c r="A67" i="4"/>
  <c r="I66" i="4"/>
  <c r="G66" i="4"/>
  <c r="E66" i="4"/>
  <c r="C66" i="4"/>
  <c r="A66" i="4"/>
  <c r="I65" i="4"/>
  <c r="G65" i="4"/>
  <c r="E65" i="4"/>
  <c r="C65" i="4"/>
  <c r="A65" i="4"/>
  <c r="I64" i="4"/>
  <c r="G64" i="4"/>
  <c r="E64" i="4"/>
  <c r="C64" i="4"/>
  <c r="A64" i="4"/>
  <c r="I63" i="4"/>
  <c r="G63" i="4"/>
  <c r="E63" i="4"/>
  <c r="C63" i="4"/>
  <c r="A63" i="4"/>
  <c r="I62" i="4"/>
  <c r="G62" i="4"/>
  <c r="E62" i="4"/>
  <c r="C62" i="4"/>
  <c r="A62" i="4"/>
  <c r="I61" i="4"/>
  <c r="G61" i="4"/>
  <c r="E61" i="4"/>
  <c r="C61" i="4"/>
  <c r="A61" i="4"/>
  <c r="I60" i="4"/>
  <c r="G60" i="4"/>
  <c r="E60" i="4"/>
  <c r="C60" i="4"/>
  <c r="A60" i="4"/>
  <c r="I59" i="4"/>
  <c r="G59" i="4"/>
  <c r="E59" i="4"/>
  <c r="C59" i="4"/>
  <c r="A59" i="4"/>
  <c r="I58" i="4"/>
  <c r="G58" i="4"/>
  <c r="E58" i="4"/>
  <c r="C58" i="4"/>
  <c r="A58" i="4"/>
  <c r="I57" i="4"/>
  <c r="G57" i="4"/>
  <c r="E57" i="4"/>
  <c r="C57" i="4"/>
  <c r="A57" i="4"/>
  <c r="I56" i="4"/>
  <c r="G56" i="4"/>
  <c r="E56" i="4"/>
  <c r="C56" i="4"/>
  <c r="A56" i="4"/>
  <c r="I55" i="4"/>
  <c r="G55" i="4"/>
  <c r="E55" i="4"/>
  <c r="C55" i="4"/>
  <c r="A55" i="4"/>
  <c r="I54" i="4"/>
  <c r="G54" i="4"/>
  <c r="E54" i="4"/>
  <c r="C54" i="4"/>
  <c r="A54" i="4"/>
  <c r="I53" i="4"/>
  <c r="G53" i="4"/>
  <c r="E53" i="4"/>
  <c r="C53" i="4"/>
  <c r="A53" i="4"/>
  <c r="I52" i="4"/>
  <c r="G52" i="4"/>
  <c r="E52" i="4"/>
  <c r="C52" i="4"/>
  <c r="A52" i="4"/>
  <c r="I51" i="4"/>
  <c r="G51" i="4"/>
  <c r="E51" i="4"/>
  <c r="C51" i="4"/>
  <c r="A51" i="4"/>
  <c r="I50" i="4"/>
  <c r="G50" i="4"/>
  <c r="E50" i="4"/>
  <c r="C50" i="4"/>
  <c r="A50" i="4"/>
  <c r="I49" i="4"/>
  <c r="G49" i="4"/>
  <c r="E49" i="4"/>
  <c r="C49" i="4"/>
  <c r="A49" i="4"/>
  <c r="I48" i="4"/>
  <c r="G48" i="4"/>
  <c r="E48" i="4"/>
  <c r="C48" i="4"/>
  <c r="A48" i="4"/>
  <c r="I47" i="4"/>
  <c r="G47" i="4"/>
  <c r="E47" i="4"/>
  <c r="C47" i="4"/>
  <c r="A47" i="4"/>
  <c r="I46" i="4"/>
  <c r="G46" i="4"/>
  <c r="E46" i="4"/>
  <c r="C46" i="4"/>
  <c r="A46" i="4"/>
  <c r="I45" i="4"/>
  <c r="G45" i="4"/>
  <c r="E45" i="4"/>
  <c r="C45" i="4"/>
  <c r="A45" i="4"/>
  <c r="I44" i="4"/>
  <c r="G44" i="4"/>
  <c r="E44" i="4"/>
  <c r="C44" i="4"/>
  <c r="A44" i="4"/>
  <c r="I43" i="4"/>
  <c r="G43" i="4"/>
  <c r="E43" i="4"/>
  <c r="C43" i="4"/>
  <c r="A43" i="4"/>
  <c r="I42" i="4"/>
  <c r="G42" i="4"/>
  <c r="E42" i="4"/>
  <c r="C42" i="4"/>
  <c r="A42" i="4"/>
  <c r="I41" i="4"/>
  <c r="G41" i="4"/>
  <c r="E41" i="4"/>
  <c r="C41" i="4"/>
  <c r="A41" i="4"/>
  <c r="I40" i="4"/>
  <c r="G40" i="4"/>
  <c r="E40" i="4"/>
  <c r="C40" i="4"/>
  <c r="A40" i="4"/>
  <c r="I39" i="4"/>
  <c r="G39" i="4"/>
  <c r="E39" i="4"/>
  <c r="C39" i="4"/>
  <c r="A39" i="4"/>
  <c r="I38" i="4"/>
  <c r="G38" i="4"/>
  <c r="E38" i="4"/>
  <c r="C38" i="4"/>
  <c r="A38" i="4"/>
  <c r="I37" i="4"/>
  <c r="G37" i="4"/>
  <c r="E37" i="4"/>
  <c r="C37" i="4"/>
  <c r="A37" i="4"/>
  <c r="I36" i="4"/>
  <c r="G36" i="4"/>
  <c r="E36" i="4"/>
  <c r="C36" i="4"/>
  <c r="A36" i="4"/>
  <c r="I35" i="4"/>
  <c r="G35" i="4"/>
  <c r="E35" i="4"/>
  <c r="C35" i="4"/>
  <c r="A35" i="4"/>
  <c r="I34" i="4"/>
  <c r="G34" i="4"/>
  <c r="E34" i="4"/>
  <c r="C34" i="4"/>
  <c r="A34" i="4"/>
  <c r="I33" i="4"/>
  <c r="G33" i="4"/>
  <c r="E33" i="4"/>
  <c r="C33" i="4"/>
  <c r="A33" i="4"/>
  <c r="I32" i="4"/>
  <c r="G32" i="4"/>
  <c r="E32" i="4"/>
  <c r="C32" i="4"/>
  <c r="A32" i="4"/>
  <c r="I31" i="4"/>
  <c r="G31" i="4"/>
  <c r="E31" i="4"/>
  <c r="C31" i="4"/>
  <c r="A31" i="4"/>
  <c r="I30" i="4"/>
  <c r="G30" i="4"/>
  <c r="E30" i="4"/>
  <c r="C30" i="4"/>
  <c r="A30" i="4"/>
  <c r="I29" i="4"/>
  <c r="G29" i="4"/>
  <c r="E29" i="4"/>
  <c r="C29" i="4"/>
  <c r="A29" i="4"/>
  <c r="I28" i="4"/>
  <c r="G28" i="4"/>
  <c r="E28" i="4"/>
  <c r="C28" i="4"/>
  <c r="A28" i="4"/>
  <c r="I27" i="4"/>
  <c r="G27" i="4"/>
  <c r="E27" i="4"/>
  <c r="C27" i="4"/>
  <c r="A27" i="4"/>
  <c r="I26" i="4"/>
  <c r="G26" i="4"/>
  <c r="E26" i="4"/>
  <c r="C26" i="4"/>
  <c r="A26" i="4"/>
  <c r="I25" i="4"/>
  <c r="G25" i="4"/>
  <c r="E25" i="4"/>
  <c r="C25" i="4"/>
  <c r="A25" i="4"/>
  <c r="I24" i="4"/>
  <c r="G24" i="4"/>
  <c r="E24" i="4"/>
  <c r="C24" i="4"/>
  <c r="A24" i="4"/>
  <c r="I23" i="4"/>
  <c r="G23" i="4"/>
  <c r="E23" i="4"/>
  <c r="C23" i="4"/>
  <c r="A23" i="4"/>
  <c r="I22" i="4"/>
  <c r="G22" i="4"/>
  <c r="E22" i="4"/>
  <c r="C22" i="4"/>
  <c r="A22" i="4"/>
  <c r="I21" i="4"/>
  <c r="G21" i="4"/>
  <c r="E21" i="4"/>
  <c r="C21" i="4"/>
  <c r="A21" i="4"/>
  <c r="I20" i="4"/>
  <c r="G20" i="4"/>
  <c r="E20" i="4"/>
  <c r="C20" i="4"/>
  <c r="A20" i="4"/>
  <c r="I19" i="4"/>
  <c r="G19" i="4"/>
  <c r="E19" i="4"/>
  <c r="C19" i="4"/>
  <c r="A19" i="4"/>
  <c r="I18" i="4"/>
  <c r="G18" i="4"/>
  <c r="E18" i="4"/>
  <c r="C18" i="4"/>
  <c r="A18" i="4"/>
  <c r="I17" i="4"/>
  <c r="G17" i="4"/>
  <c r="E17" i="4"/>
  <c r="C17" i="4"/>
  <c r="A17" i="4"/>
  <c r="I16" i="4"/>
  <c r="G16" i="4"/>
  <c r="E16" i="4"/>
  <c r="C16" i="4"/>
  <c r="A16" i="4"/>
  <c r="I15" i="4"/>
  <c r="G15" i="4"/>
  <c r="E15" i="4"/>
  <c r="C15" i="4"/>
  <c r="A15" i="4"/>
  <c r="I14" i="4"/>
  <c r="G14" i="4"/>
  <c r="E14" i="4"/>
  <c r="C14" i="4"/>
  <c r="A14" i="4"/>
  <c r="I13" i="4"/>
  <c r="G13" i="4"/>
  <c r="E13" i="4"/>
  <c r="C13" i="4"/>
  <c r="A13" i="4"/>
  <c r="I12" i="4"/>
  <c r="G12" i="4"/>
  <c r="E12" i="4"/>
  <c r="C12" i="4"/>
  <c r="A12" i="4"/>
  <c r="I11" i="4"/>
  <c r="G11" i="4"/>
  <c r="E11" i="4"/>
  <c r="C11" i="4"/>
  <c r="A11" i="4"/>
  <c r="I10" i="4"/>
  <c r="G10" i="4"/>
  <c r="E10" i="4"/>
  <c r="C10" i="4"/>
  <c r="A10" i="4"/>
  <c r="I9" i="4"/>
  <c r="G9" i="4"/>
  <c r="E9" i="4"/>
  <c r="C9" i="4"/>
  <c r="A9" i="4"/>
  <c r="I8" i="4"/>
  <c r="G8" i="4"/>
  <c r="E8" i="4"/>
  <c r="C8" i="4"/>
  <c r="A8" i="4"/>
  <c r="I7" i="4"/>
  <c r="G7" i="4"/>
  <c r="E7" i="4"/>
  <c r="C7" i="4"/>
  <c r="A7" i="4"/>
  <c r="I6" i="4"/>
  <c r="G6" i="4"/>
  <c r="E6" i="4"/>
  <c r="C6" i="4"/>
  <c r="A6" i="4"/>
  <c r="I5" i="4"/>
  <c r="G5" i="4"/>
  <c r="E5" i="4"/>
  <c r="C5" i="4"/>
  <c r="A5" i="4"/>
  <c r="I4" i="4"/>
  <c r="G4" i="4"/>
  <c r="E4" i="4"/>
  <c r="C4" i="4"/>
  <c r="A4" i="4"/>
  <c r="F72" i="1"/>
  <c r="E72" i="1"/>
  <c r="D72" i="1"/>
  <c r="C72" i="1"/>
  <c r="B72" i="1"/>
  <c r="A72" i="1"/>
  <c r="F71" i="1"/>
  <c r="E71" i="1"/>
  <c r="D71" i="1"/>
  <c r="C71" i="1"/>
  <c r="B71" i="1"/>
  <c r="A71" i="1"/>
  <c r="F70" i="1"/>
  <c r="E70" i="1"/>
  <c r="D70" i="1"/>
  <c r="C70" i="1"/>
  <c r="B70" i="1"/>
  <c r="A70" i="1"/>
  <c r="F69" i="1"/>
  <c r="E69" i="1"/>
  <c r="D69" i="1"/>
  <c r="C69" i="1"/>
  <c r="B69" i="1"/>
  <c r="A69" i="1"/>
  <c r="F68" i="1"/>
  <c r="E68" i="1"/>
  <c r="D68" i="1"/>
  <c r="C68" i="1"/>
  <c r="B68" i="1"/>
  <c r="A68" i="1"/>
  <c r="F67" i="1"/>
  <c r="E67" i="1"/>
  <c r="D67" i="1"/>
  <c r="C67" i="1"/>
  <c r="B67" i="1"/>
  <c r="A67" i="1"/>
  <c r="F66" i="1"/>
  <c r="E66" i="1"/>
  <c r="D66" i="1"/>
  <c r="C66" i="1"/>
  <c r="B66" i="1"/>
  <c r="A66" i="1"/>
  <c r="F65" i="1"/>
  <c r="E65" i="1"/>
  <c r="D65" i="1"/>
  <c r="C65" i="1"/>
  <c r="B65" i="1"/>
  <c r="A65" i="1"/>
  <c r="F64" i="1"/>
  <c r="E64" i="1"/>
  <c r="D64" i="1"/>
  <c r="C64" i="1"/>
  <c r="B64" i="1"/>
  <c r="A64" i="1"/>
  <c r="F63" i="1"/>
  <c r="E63" i="1"/>
  <c r="D63" i="1"/>
  <c r="C63" i="1"/>
  <c r="B63" i="1"/>
  <c r="A63" i="1"/>
  <c r="F62" i="1"/>
  <c r="E62" i="1"/>
  <c r="D62" i="1"/>
  <c r="C62" i="1"/>
  <c r="B62" i="1"/>
  <c r="A62" i="1"/>
  <c r="F61" i="1"/>
  <c r="E61" i="1"/>
  <c r="D61" i="1"/>
  <c r="C61" i="1"/>
  <c r="B61" i="1"/>
  <c r="A61" i="1"/>
  <c r="F60" i="1"/>
  <c r="E60" i="1"/>
  <c r="D60" i="1"/>
  <c r="C60" i="1"/>
  <c r="B60" i="1"/>
  <c r="A60" i="1"/>
  <c r="F59" i="1"/>
  <c r="E59" i="1"/>
  <c r="D59" i="1"/>
  <c r="C59" i="1"/>
  <c r="B59" i="1"/>
  <c r="A59" i="1"/>
  <c r="F58" i="1"/>
  <c r="E58" i="1"/>
  <c r="D58" i="1"/>
  <c r="C58" i="1"/>
  <c r="B58" i="1"/>
  <c r="A58" i="1"/>
  <c r="F57" i="1"/>
  <c r="E57" i="1"/>
  <c r="D57" i="1"/>
  <c r="C57" i="1"/>
  <c r="B57" i="1"/>
  <c r="A57" i="1"/>
  <c r="F56" i="1"/>
  <c r="E56" i="1"/>
  <c r="D56" i="1"/>
  <c r="C56" i="1"/>
  <c r="B56" i="1"/>
  <c r="A56" i="1"/>
  <c r="F55" i="1"/>
  <c r="E55" i="1"/>
  <c r="D55" i="1"/>
  <c r="C55" i="1"/>
  <c r="B55" i="1"/>
  <c r="A55" i="1"/>
  <c r="F54" i="1"/>
  <c r="E54" i="1"/>
  <c r="D54" i="1"/>
  <c r="C54" i="1"/>
  <c r="B54" i="1"/>
  <c r="A54" i="1"/>
  <c r="F53" i="1"/>
  <c r="E53" i="1"/>
  <c r="D53" i="1"/>
  <c r="C53" i="1"/>
  <c r="B53" i="1"/>
  <c r="A53" i="1"/>
  <c r="F52" i="1"/>
  <c r="E52" i="1"/>
  <c r="D52" i="1"/>
  <c r="C52" i="1"/>
  <c r="B52" i="1"/>
  <c r="A52" i="1"/>
  <c r="F51" i="1"/>
  <c r="E51" i="1"/>
  <c r="D51" i="1"/>
  <c r="C51" i="1"/>
  <c r="B51" i="1"/>
  <c r="A51" i="1"/>
  <c r="F50" i="1"/>
  <c r="E50" i="1"/>
  <c r="D50" i="1"/>
  <c r="C50" i="1"/>
  <c r="B50" i="1"/>
  <c r="A50" i="1"/>
  <c r="F49" i="1"/>
  <c r="E49" i="1"/>
  <c r="D49" i="1"/>
  <c r="C49" i="1"/>
  <c r="B49" i="1"/>
  <c r="A49" i="1"/>
  <c r="F48" i="1"/>
  <c r="E48" i="1"/>
  <c r="D48" i="1"/>
  <c r="C48" i="1"/>
  <c r="B48" i="1"/>
  <c r="A48" i="1"/>
  <c r="F47" i="1"/>
  <c r="E47" i="1"/>
  <c r="D47" i="1"/>
  <c r="C47" i="1"/>
  <c r="B47" i="1"/>
  <c r="A47" i="1"/>
  <c r="F46" i="1"/>
  <c r="E46" i="1"/>
  <c r="D46" i="1"/>
  <c r="C46" i="1"/>
  <c r="B46" i="1"/>
  <c r="A46" i="1"/>
  <c r="F45" i="1"/>
  <c r="E45" i="1"/>
  <c r="D45" i="1"/>
  <c r="C45" i="1"/>
  <c r="B45" i="1"/>
  <c r="A45" i="1"/>
  <c r="F44" i="1"/>
  <c r="E44" i="1"/>
  <c r="D44" i="1"/>
  <c r="C44" i="1"/>
  <c r="B44" i="1"/>
  <c r="A44" i="1"/>
  <c r="F43" i="1"/>
  <c r="E43" i="1"/>
  <c r="D43" i="1"/>
  <c r="C43" i="1"/>
  <c r="B43" i="1"/>
  <c r="A43" i="1"/>
  <c r="F42" i="1"/>
  <c r="E42" i="1"/>
  <c r="D42" i="1"/>
  <c r="C42" i="1"/>
  <c r="B42" i="1"/>
  <c r="A42" i="1"/>
  <c r="F41" i="1"/>
  <c r="E41" i="1"/>
  <c r="D41" i="1"/>
  <c r="C41" i="1"/>
  <c r="B41" i="1"/>
  <c r="A41" i="1"/>
  <c r="F40" i="1"/>
  <c r="E40" i="1"/>
  <c r="D40" i="1"/>
  <c r="C40" i="1"/>
  <c r="B40" i="1"/>
  <c r="A40" i="1"/>
  <c r="F39" i="1"/>
  <c r="E39" i="1"/>
  <c r="D39" i="1"/>
  <c r="C39" i="1"/>
  <c r="B39" i="1"/>
  <c r="A39" i="1"/>
  <c r="F38" i="1"/>
  <c r="E38" i="1"/>
  <c r="D38" i="1"/>
  <c r="C38" i="1"/>
  <c r="B38" i="1"/>
  <c r="A38" i="1"/>
  <c r="F37" i="1"/>
  <c r="E37" i="1"/>
  <c r="D37" i="1"/>
  <c r="C37" i="1"/>
  <c r="B37" i="1"/>
  <c r="A37" i="1"/>
  <c r="F36" i="1"/>
  <c r="E36" i="1"/>
  <c r="D36" i="1"/>
  <c r="C36" i="1"/>
  <c r="B36" i="1"/>
  <c r="A36" i="1"/>
  <c r="F35" i="1"/>
  <c r="E35" i="1"/>
  <c r="D35" i="1"/>
  <c r="C35" i="1"/>
  <c r="B35" i="1"/>
  <c r="A35" i="1"/>
  <c r="F34" i="1"/>
  <c r="E34" i="1"/>
  <c r="D34" i="1"/>
  <c r="C34" i="1"/>
  <c r="B34" i="1"/>
  <c r="A34" i="1"/>
  <c r="F33" i="1"/>
  <c r="E33" i="1"/>
  <c r="D33" i="1"/>
  <c r="C33" i="1"/>
  <c r="B33" i="1"/>
  <c r="A33" i="1"/>
  <c r="F32" i="1"/>
  <c r="E32" i="1"/>
  <c r="D32" i="1"/>
  <c r="C32" i="1"/>
  <c r="B32" i="1"/>
  <c r="A32" i="1"/>
  <c r="F31" i="1"/>
  <c r="E31" i="1"/>
  <c r="D31" i="1"/>
  <c r="C31" i="1"/>
  <c r="B31" i="1"/>
  <c r="A31" i="1"/>
  <c r="F30" i="1"/>
  <c r="E30" i="1"/>
  <c r="D30" i="1"/>
  <c r="C30" i="1"/>
  <c r="B30" i="1"/>
  <c r="A30" i="1"/>
  <c r="F29" i="1"/>
  <c r="E29" i="1"/>
  <c r="D29" i="1"/>
  <c r="C29" i="1"/>
  <c r="B29" i="1"/>
  <c r="A29" i="1"/>
  <c r="F28" i="1"/>
  <c r="E28" i="1"/>
  <c r="D28" i="1"/>
  <c r="C28" i="1"/>
  <c r="B28" i="1"/>
  <c r="A28" i="1"/>
  <c r="F27" i="1"/>
  <c r="E27" i="1"/>
  <c r="D27" i="1"/>
  <c r="C27" i="1"/>
  <c r="B27" i="1"/>
  <c r="A27" i="1"/>
  <c r="F26" i="1"/>
  <c r="E26" i="1"/>
  <c r="D26" i="1"/>
  <c r="C26" i="1"/>
  <c r="B26" i="1"/>
  <c r="A26" i="1"/>
  <c r="F25" i="1"/>
  <c r="E25" i="1"/>
  <c r="D25" i="1"/>
  <c r="C25" i="1"/>
  <c r="B25" i="1"/>
  <c r="A25" i="1"/>
  <c r="F24" i="1"/>
  <c r="E24" i="1"/>
  <c r="D24" i="1"/>
  <c r="C24" i="1"/>
  <c r="B24" i="1"/>
  <c r="A24" i="1"/>
  <c r="F23" i="1"/>
  <c r="E23" i="1"/>
  <c r="D23" i="1"/>
  <c r="C23" i="1"/>
  <c r="B23" i="1"/>
  <c r="A23" i="1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B8" i="6"/>
  <c r="H7" i="6"/>
  <c r="E7" i="6"/>
  <c r="B7" i="6"/>
  <c r="H6" i="6"/>
  <c r="E6" i="6"/>
  <c r="B6" i="6"/>
  <c r="H5" i="6"/>
  <c r="E5" i="6"/>
  <c r="B5" i="6"/>
  <c r="H4" i="6"/>
  <c r="E4" i="6"/>
  <c r="B4" i="6"/>
  <c r="I10" i="5"/>
  <c r="B10" i="5"/>
  <c r="I6" i="5"/>
  <c r="B6" i="5"/>
  <c r="K20" i="1"/>
  <c r="K19" i="1"/>
  <c r="K18" i="1"/>
  <c r="I18" i="1"/>
  <c r="H18" i="1"/>
  <c r="G18" i="1"/>
  <c r="F18" i="1"/>
  <c r="E18" i="1"/>
  <c r="D18" i="1"/>
  <c r="C18" i="1"/>
  <c r="B18" i="1"/>
  <c r="A18" i="1"/>
  <c r="K17" i="1"/>
  <c r="K16" i="1"/>
  <c r="I11" i="1"/>
  <c r="G11" i="1"/>
  <c r="E11" i="1"/>
  <c r="C11" i="1"/>
  <c r="A11" i="1"/>
  <c r="I8" i="1"/>
  <c r="G8" i="1"/>
  <c r="E8" i="1"/>
  <c r="C8" i="1"/>
  <c r="A8" i="1"/>
  <c r="H7" i="5" l="1"/>
  <c r="I7" i="5"/>
  <c r="E7" i="5"/>
  <c r="D7" i="5"/>
  <c r="C7" i="5"/>
  <c r="B7" i="5"/>
  <c r="D5" i="5"/>
  <c r="C5" i="5"/>
  <c r="B5" i="5"/>
  <c r="E5" i="5"/>
  <c r="I5" i="5"/>
  <c r="H5" i="5"/>
  <c r="H11" i="5"/>
  <c r="D11" i="5"/>
  <c r="I11" i="5"/>
  <c r="E11" i="5"/>
  <c r="C11" i="5"/>
  <c r="B11" i="5"/>
  <c r="B8" i="5"/>
  <c r="I8" i="5"/>
  <c r="H8" i="5"/>
  <c r="E8" i="5"/>
  <c r="D8" i="5"/>
  <c r="C8" i="5"/>
  <c r="D9" i="5"/>
  <c r="C9" i="5"/>
  <c r="B9" i="5"/>
  <c r="I9" i="5"/>
  <c r="H9" i="5"/>
  <c r="E9" i="5"/>
  <c r="B12" i="5"/>
  <c r="I12" i="5"/>
  <c r="H12" i="5"/>
  <c r="C12" i="5"/>
  <c r="E12" i="5"/>
  <c r="D12" i="5"/>
  <c r="D6" i="5"/>
  <c r="D10" i="5"/>
  <c r="E6" i="5"/>
  <c r="E10" i="5"/>
  <c r="C6" i="5"/>
  <c r="C10" i="5"/>
  <c r="C4" i="5"/>
  <c r="D4" i="5"/>
  <c r="B4" i="5"/>
  <c r="I4" i="5"/>
  <c r="H4" i="5"/>
  <c r="E4" i="5"/>
  <c r="G4" i="5" s="1"/>
  <c r="G9" i="5" l="1"/>
  <c r="F5" i="5"/>
  <c r="G11" i="5"/>
  <c r="F12" i="5"/>
  <c r="G8" i="5"/>
  <c r="G5" i="5"/>
  <c r="G6" i="5"/>
  <c r="F7" i="5"/>
  <c r="G12" i="5"/>
  <c r="F11" i="5"/>
  <c r="F6" i="5"/>
  <c r="F10" i="5"/>
  <c r="F4" i="5"/>
  <c r="G10" i="5"/>
  <c r="F9" i="5"/>
  <c r="F8" i="5"/>
  <c r="G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3" authorId="0" shapeId="0" xr:uid="{00000000-0006-0000-0000-000001000000}">
      <text>
        <r>
          <rPr>
            <sz val="10"/>
            <rFont val="Arial"/>
            <family val="2"/>
          </rPr>
          <t>Looks up tickets for the selected team member using INDEX/AGGREGATE — works in all Excel versions, no dynamic arrays required.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<sst xmlns="http://schemas.openxmlformats.org/spreadsheetml/2006/main" count="1478" uniqueCount="566">
  <si>
    <t>WayPoint Project Tracker - Home Dashboard</t>
  </si>
  <si>
    <t>Project Name</t>
  </si>
  <si>
    <t>WayPoint</t>
  </si>
  <si>
    <t>Methodology</t>
  </si>
  <si>
    <t>Kanban</t>
  </si>
  <si>
    <t>Ticket Format</t>
  </si>
  <si>
    <t>WPT-001</t>
  </si>
  <si>
    <t>Total Tickets</t>
  </si>
  <si>
    <t>Backlog</t>
  </si>
  <si>
    <t>Ready</t>
  </si>
  <si>
    <t>In Progress</t>
  </si>
  <si>
    <t>Testing</t>
  </si>
  <si>
    <t>Done</t>
  </si>
  <si>
    <t>Total Story Points</t>
  </si>
  <si>
    <t>Completed SP</t>
  </si>
  <si>
    <t>Remaining SP</t>
  </si>
  <si>
    <t>Completion %</t>
  </si>
  <si>
    <t>Select Team Member</t>
  </si>
  <si>
    <t>Pragna</t>
  </si>
  <si>
    <t>Status</t>
  </si>
  <si>
    <t>Count</t>
  </si>
  <si>
    <t>Assigned Tickets</t>
  </si>
  <si>
    <t>Open Tickets</t>
  </si>
  <si>
    <t>Completed Tickets</t>
  </si>
  <si>
    <t>Assigned SP</t>
  </si>
  <si>
    <t>Selected Team Member Tickets</t>
  </si>
  <si>
    <t>Ticket ID</t>
  </si>
  <si>
    <t>Type</t>
  </si>
  <si>
    <t>Module</t>
  </si>
  <si>
    <t>Title</t>
  </si>
  <si>
    <t>SP</t>
  </si>
  <si>
    <t>Parent ID</t>
  </si>
  <si>
    <t>Assignee</t>
  </si>
  <si>
    <t>Story Points</t>
  </si>
  <si>
    <t>Created Date</t>
  </si>
  <si>
    <t>Start Date</t>
  </si>
  <si>
    <t>Target Date</t>
  </si>
  <si>
    <t>Completed Date</t>
  </si>
  <si>
    <t>Notes</t>
  </si>
  <si>
    <t>Epic</t>
  </si>
  <si>
    <t>Project Foundation</t>
  </si>
  <si>
    <t>WayPoint Application Foundation</t>
  </si>
  <si>
    <t>TBD</t>
  </si>
  <si>
    <t>Core application setup</t>
  </si>
  <si>
    <t>WPT-002</t>
  </si>
  <si>
    <t>Story</t>
  </si>
  <si>
    <t>Set up React full stack project structure</t>
  </si>
  <si>
    <t>Create frontend and backend base structure</t>
  </si>
  <si>
    <t>WPT-003</t>
  </si>
  <si>
    <t>Task</t>
  </si>
  <si>
    <t>Create frontend React application</t>
  </si>
  <si>
    <t>Set up app shell and routing</t>
  </si>
  <si>
    <t>WPT-004</t>
  </si>
  <si>
    <t>Create backend API project</t>
  </si>
  <si>
    <t>Set up backend services</t>
  </si>
  <si>
    <t>WPT-005</t>
  </si>
  <si>
    <t>Set up database connection</t>
  </si>
  <si>
    <t>Connect backend to database</t>
  </si>
  <si>
    <t>WPT-006</t>
  </si>
  <si>
    <t>Subtask</t>
  </si>
  <si>
    <t>Create environment configuration</t>
  </si>
  <si>
    <t>Add dev/test/prod config placeholders</t>
  </si>
  <si>
    <t>WPT-007</t>
  </si>
  <si>
    <t>Create shared navigation layout</t>
  </si>
  <si>
    <t>WPT-008</t>
  </si>
  <si>
    <t>Shared UI</t>
  </si>
  <si>
    <t>Create top navigation bar</t>
  </si>
  <si>
    <t>Navbar with dashboard links</t>
  </si>
  <si>
    <t>WPT-009</t>
  </si>
  <si>
    <t>Create profile icon menu</t>
  </si>
  <si>
    <t>Profile</t>
  </si>
  <si>
    <t>WPT-010</t>
  </si>
  <si>
    <t>Create reusable dashboard card component</t>
  </si>
  <si>
    <t>Used for counts and summary metrics</t>
  </si>
  <si>
    <t>WPT-011</t>
  </si>
  <si>
    <t>Authentication</t>
  </si>
  <si>
    <t>Registration and Login</t>
  </si>
  <si>
    <t>WPT-012</t>
  </si>
  <si>
    <t>Employer registration</t>
  </si>
  <si>
    <t>Employer can create account</t>
  </si>
  <si>
    <t>WPT-013</t>
  </si>
  <si>
    <t>Create employer registration UI</t>
  </si>
  <si>
    <t>Registration form</t>
  </si>
  <si>
    <t>WPT-014</t>
  </si>
  <si>
    <t>Create employer registration API</t>
  </si>
  <si>
    <t>Save employer account</t>
  </si>
  <si>
    <t>WPT-015</t>
  </si>
  <si>
    <t>Validate employer registration fields</t>
  </si>
  <si>
    <t>Required fields and email validation</t>
  </si>
  <si>
    <t>WPT-016</t>
  </si>
  <si>
    <t>WPT-017</t>
  </si>
  <si>
    <t>WPT-018</t>
  </si>
  <si>
    <t>WPT-019</t>
  </si>
  <si>
    <t>WPT-020</t>
  </si>
  <si>
    <t>Role based login</t>
  </si>
  <si>
    <t>WPT-021</t>
  </si>
  <si>
    <t>Create login UI</t>
  </si>
  <si>
    <t>Common login screen</t>
  </si>
  <si>
    <t>WPT-022</t>
  </si>
  <si>
    <t>Create login API</t>
  </si>
  <si>
    <t>Authenticate user</t>
  </si>
  <si>
    <t>WPT-023</t>
  </si>
  <si>
    <t>Redirect user based on account type</t>
  </si>
  <si>
    <t>WPT-024</t>
  </si>
  <si>
    <t>Password and logout management</t>
  </si>
  <si>
    <t>Profile menu actions</t>
  </si>
  <si>
    <t>WPT-025</t>
  </si>
  <si>
    <t>Create change password screen</t>
  </si>
  <si>
    <t>Allow password change</t>
  </si>
  <si>
    <t>WPT-026</t>
  </si>
  <si>
    <t>Create logout function</t>
  </si>
  <si>
    <t>End user session</t>
  </si>
  <si>
    <t>WPT-027</t>
  </si>
  <si>
    <t>Employer Portal</t>
  </si>
  <si>
    <t>Employer Dashboard and Profile</t>
  </si>
  <si>
    <t>Employer side main experience</t>
  </si>
  <si>
    <t>WPT-028</t>
  </si>
  <si>
    <t>Employer Profile</t>
  </si>
  <si>
    <t>Employer profile management</t>
  </si>
  <si>
    <t>Employer can edit company information</t>
  </si>
  <si>
    <t>WPT-029</t>
  </si>
  <si>
    <t>Create employer profile page</t>
  </si>
  <si>
    <t>Company profile details</t>
  </si>
  <si>
    <t>WPT-030</t>
  </si>
  <si>
    <t>Create edit company profile function</t>
  </si>
  <si>
    <t>Update company name and details</t>
  </si>
  <si>
    <t>WPT-031</t>
  </si>
  <si>
    <t>Create employer profile API</t>
  </si>
  <si>
    <t>Save and fetch employer profile</t>
  </si>
  <si>
    <t>WPT-032</t>
  </si>
  <si>
    <t>Employer Dashboard</t>
  </si>
  <si>
    <t>Employer home dashboard</t>
  </si>
  <si>
    <t>Summary dashboard after login</t>
  </si>
  <si>
    <t>WPT-033</t>
  </si>
  <si>
    <t>Show total jobs posted</t>
  </si>
  <si>
    <t>Dashboard card</t>
  </si>
  <si>
    <t>WPT-034</t>
  </si>
  <si>
    <t>Show new applications count</t>
  </si>
  <si>
    <t>WPT-035</t>
  </si>
  <si>
    <t>WPT-036</t>
  </si>
  <si>
    <t>WPT-037</t>
  </si>
  <si>
    <t>Show event summary cards</t>
  </si>
  <si>
    <t>Upcoming and completed events</t>
  </si>
  <si>
    <t>WPT-038</t>
  </si>
  <si>
    <t>Employer Job Management</t>
  </si>
  <si>
    <t>Employer Job Dashboard and Job Postings</t>
  </si>
  <si>
    <t>Employer can manage jobs</t>
  </si>
  <si>
    <t>WPT-039</t>
  </si>
  <si>
    <t>View all job postings</t>
  </si>
  <si>
    <t>Employer can see job list</t>
  </si>
  <si>
    <t>WPT-040</t>
  </si>
  <si>
    <t>Create job postings list page</t>
  </si>
  <si>
    <t>List view of jobs</t>
  </si>
  <si>
    <t>WPT-041</t>
  </si>
  <si>
    <t>Display job ID and job name</t>
  </si>
  <si>
    <t>Columns in job list</t>
  </si>
  <si>
    <t>WPT-042</t>
  </si>
  <si>
    <t>Show count per job</t>
  </si>
  <si>
    <t>WPT-043</t>
  </si>
  <si>
    <t>Create clickable job ID navigation</t>
  </si>
  <si>
    <t>Open job details</t>
  </si>
  <si>
    <t>WPT-044</t>
  </si>
  <si>
    <t>Create new job posting</t>
  </si>
  <si>
    <t>Employer can create job</t>
  </si>
  <si>
    <t>WPT-045</t>
  </si>
  <si>
    <t>Create job posting form UI</t>
  </si>
  <si>
    <t>Job title description location etc.</t>
  </si>
  <si>
    <t>WPT-046</t>
  </si>
  <si>
    <t>Create save job posting API</t>
  </si>
  <si>
    <t>Backend save logic</t>
  </si>
  <si>
    <t>WPT-047</t>
  </si>
  <si>
    <t>Validate job posting fields</t>
  </si>
  <si>
    <t>Required fields</t>
  </si>
  <si>
    <t>WPT-048</t>
  </si>
  <si>
    <t>Edit existing job posting</t>
  </si>
  <si>
    <t>Employer can update job</t>
  </si>
  <si>
    <t>WPT-049</t>
  </si>
  <si>
    <t>Create edit job UI</t>
  </si>
  <si>
    <t>Modify existing job</t>
  </si>
  <si>
    <t>WPT-050</t>
  </si>
  <si>
    <t>Create update job API</t>
  </si>
  <si>
    <t>Backend update logic</t>
  </si>
  <si>
    <t>WPT-051</t>
  </si>
  <si>
    <t>Delete job posting</t>
  </si>
  <si>
    <t>Employer can delete job</t>
  </si>
  <si>
    <t>WPT-052</t>
  </si>
  <si>
    <t>Create delete confirmation UI</t>
  </si>
  <si>
    <t>Prevent accidental deletion</t>
  </si>
  <si>
    <t>WPT-053</t>
  </si>
  <si>
    <t>Create delete job API</t>
  </si>
  <si>
    <t>Backend delete logic</t>
  </si>
  <si>
    <t>WPT-054</t>
  </si>
  <si>
    <t>Employer can see applicants</t>
  </si>
  <si>
    <t>WPT-055</t>
  </si>
  <si>
    <t>List applicants for selected job</t>
  </si>
  <si>
    <t>WPT-056</t>
  </si>
  <si>
    <t>Display application status</t>
  </si>
  <si>
    <t>New In Review Shortlisted Hired Rejected</t>
  </si>
  <si>
    <t>WPT-057</t>
  </si>
  <si>
    <t>WPT-058</t>
  </si>
  <si>
    <t>Employer Application Tracking</t>
  </si>
  <si>
    <t>WPT-059</t>
  </si>
  <si>
    <t>WPT-060</t>
  </si>
  <si>
    <t>Create status dropdown for application</t>
  </si>
  <si>
    <t>WPT-061</t>
  </si>
  <si>
    <t>Create update application status API</t>
  </si>
  <si>
    <t>Save status change</t>
  </si>
  <si>
    <t>WPT-062</t>
  </si>
  <si>
    <t>Show status history or latest status</t>
  </si>
  <si>
    <t>Track current state</t>
  </si>
  <si>
    <t>WPT-063</t>
  </si>
  <si>
    <t>Employer Event Management</t>
  </si>
  <si>
    <t>Employer Event Dashboard and Events</t>
  </si>
  <si>
    <t>Employer manages career events</t>
  </si>
  <si>
    <t>WPT-064</t>
  </si>
  <si>
    <t>View employer event dashboard</t>
  </si>
  <si>
    <t>Summary of events</t>
  </si>
  <si>
    <t>WPT-065</t>
  </si>
  <si>
    <t>Show total events created</t>
  </si>
  <si>
    <t>WPT-066</t>
  </si>
  <si>
    <t>Show upcoming events count</t>
  </si>
  <si>
    <t>WPT-067</t>
  </si>
  <si>
    <t>Show completed events count</t>
  </si>
  <si>
    <t>WPT-068</t>
  </si>
  <si>
    <t>Create new event</t>
  </si>
  <si>
    <t>Career fair or event posting</t>
  </si>
  <si>
    <t>WPT-069</t>
  </si>
  <si>
    <t>Create event form UI</t>
  </si>
  <si>
    <t>Event name date location details</t>
  </si>
  <si>
    <t>WPT-070</t>
  </si>
  <si>
    <t>Create save event API</t>
  </si>
  <si>
    <t>WPT-071</t>
  </si>
  <si>
    <t>Validate event fields</t>
  </si>
  <si>
    <t>WPT-072</t>
  </si>
  <si>
    <t>View event details</t>
  </si>
  <si>
    <t>Employer can open event ID</t>
  </si>
  <si>
    <t>WPT-073</t>
  </si>
  <si>
    <t>Display event information</t>
  </si>
  <si>
    <t>Event detail screen</t>
  </si>
  <si>
    <t>WPT-074</t>
  </si>
  <si>
    <t>Count of registrations</t>
  </si>
  <si>
    <t>WPT-075</t>
  </si>
  <si>
    <t>WPT-076</t>
  </si>
  <si>
    <t>Edit cancel postpone or delete event</t>
  </si>
  <si>
    <t>Employer can manage event lifecycle</t>
  </si>
  <si>
    <t>WPT-077</t>
  </si>
  <si>
    <t>Create edit event function</t>
  </si>
  <si>
    <t>Update event details</t>
  </si>
  <si>
    <t>WPT-078</t>
  </si>
  <si>
    <t>Create cancel event function</t>
  </si>
  <si>
    <t>Cancel event</t>
  </si>
  <si>
    <t>WPT-079</t>
  </si>
  <si>
    <t>Create postpone event function</t>
  </si>
  <si>
    <t>Change event date</t>
  </si>
  <si>
    <t>WPT-080</t>
  </si>
  <si>
    <t>Create delete event function</t>
  </si>
  <si>
    <t>Remove event</t>
  </si>
  <si>
    <t>WPT-081</t>
  </si>
  <si>
    <t>Candidate Portal</t>
  </si>
  <si>
    <t>WPT-082</t>
  </si>
  <si>
    <t>Candidate Profile</t>
  </si>
  <si>
    <t>WPT-083</t>
  </si>
  <si>
    <t>Profile details</t>
  </si>
  <si>
    <t>WPT-084</t>
  </si>
  <si>
    <t>WPT-085</t>
  </si>
  <si>
    <t>Create resume upload function</t>
  </si>
  <si>
    <t>Upload resume</t>
  </si>
  <si>
    <t>WPT-086</t>
  </si>
  <si>
    <t>Save and fetch profile</t>
  </si>
  <si>
    <t>WPT-087</t>
  </si>
  <si>
    <t>Candidate Dashboard</t>
  </si>
  <si>
    <t>Summary after login</t>
  </si>
  <si>
    <t>WPT-088</t>
  </si>
  <si>
    <t>Show my applications summary</t>
  </si>
  <si>
    <t>Application count and status</t>
  </si>
  <si>
    <t>WPT-089</t>
  </si>
  <si>
    <t>Show event registration summary</t>
  </si>
  <si>
    <t>WPT-090</t>
  </si>
  <si>
    <t>Show notifications summary</t>
  </si>
  <si>
    <t>Recent alerts</t>
  </si>
  <si>
    <t>WPT-091</t>
  </si>
  <si>
    <t>Candidate Job Management</t>
  </si>
  <si>
    <t>WPT-092</t>
  </si>
  <si>
    <t>Browse new job postings</t>
  </si>
  <si>
    <t>WPT-093</t>
  </si>
  <si>
    <t>Create job listings page</t>
  </si>
  <si>
    <t>List available jobs</t>
  </si>
  <si>
    <t>WPT-094</t>
  </si>
  <si>
    <t>Create job search box</t>
  </si>
  <si>
    <t>Search by keyword</t>
  </si>
  <si>
    <t>WPT-095</t>
  </si>
  <si>
    <t>Create job filters</t>
  </si>
  <si>
    <t>Filter by relevance newest etc.</t>
  </si>
  <si>
    <t>WPT-096</t>
  </si>
  <si>
    <t>Create job description page</t>
  </si>
  <si>
    <t>WPT-097</t>
  </si>
  <si>
    <t>Apply for a job</t>
  </si>
  <si>
    <t>WPT-098</t>
  </si>
  <si>
    <t>Create apply button and flow</t>
  </si>
  <si>
    <t>Start application process</t>
  </si>
  <si>
    <t>WPT-099</t>
  </si>
  <si>
    <t>Allow apply using existing profile</t>
  </si>
  <si>
    <t>Use saved profile</t>
  </si>
  <si>
    <t>WPT-100</t>
  </si>
  <si>
    <t>Allow apply by filling application form</t>
  </si>
  <si>
    <t>Manual application</t>
  </si>
  <si>
    <t>WPT-101</t>
  </si>
  <si>
    <t>Allow resume upload during application</t>
  </si>
  <si>
    <t>Attach resume</t>
  </si>
  <si>
    <t>WPT-102</t>
  </si>
  <si>
    <t>Create submit application API</t>
  </si>
  <si>
    <t>Save application</t>
  </si>
  <si>
    <t>WPT-103</t>
  </si>
  <si>
    <t>Track my applications</t>
  </si>
  <si>
    <t>WPT-104</t>
  </si>
  <si>
    <t>Create my applications tab</t>
  </si>
  <si>
    <t>Submitted applications list</t>
  </si>
  <si>
    <t>WPT-105</t>
  </si>
  <si>
    <t>Submitted In Review Shortlisted Hired Rejected</t>
  </si>
  <si>
    <t>WPT-106</t>
  </si>
  <si>
    <t>Create view application details screen</t>
  </si>
  <si>
    <t>Read-only application view</t>
  </si>
  <si>
    <t>WPT-107</t>
  </si>
  <si>
    <t>Create withdraw application function</t>
  </si>
  <si>
    <t>WPT-108</t>
  </si>
  <si>
    <t>Prevent editing after submission</t>
  </si>
  <si>
    <t>Read-only after apply</t>
  </si>
  <si>
    <t>WPT-109</t>
  </si>
  <si>
    <t>Candidate Event Management</t>
  </si>
  <si>
    <t>WPT-110</t>
  </si>
  <si>
    <t>Browse available events</t>
  </si>
  <si>
    <t>WPT-111</t>
  </si>
  <si>
    <t>Create event listings page</t>
  </si>
  <si>
    <t>List events</t>
  </si>
  <si>
    <t>WPT-112</t>
  </si>
  <si>
    <t>Create event search box</t>
  </si>
  <si>
    <t>WPT-113</t>
  </si>
  <si>
    <t>Create event detail page</t>
  </si>
  <si>
    <t>Open event details</t>
  </si>
  <si>
    <t>WPT-114</t>
  </si>
  <si>
    <t>Register for event</t>
  </si>
  <si>
    <t>WPT-115</t>
  </si>
  <si>
    <t>Create RSVP/register button</t>
  </si>
  <si>
    <t>WPT-116</t>
  </si>
  <si>
    <t>Create event registration API</t>
  </si>
  <si>
    <t>Save RSVP</t>
  </si>
  <si>
    <t>WPT-117</t>
  </si>
  <si>
    <t>Show registered status</t>
  </si>
  <si>
    <t>WPT-118</t>
  </si>
  <si>
    <t>Manage registered events</t>
  </si>
  <si>
    <t>WPT-119</t>
  </si>
  <si>
    <t>Create registered events tab</t>
  </si>
  <si>
    <t>WPT-120</t>
  </si>
  <si>
    <t>Show upcoming events</t>
  </si>
  <si>
    <t>Upcoming registrations</t>
  </si>
  <si>
    <t>WPT-121</t>
  </si>
  <si>
    <t>Show completed events</t>
  </si>
  <si>
    <t>Past events</t>
  </si>
  <si>
    <t>WPT-122</t>
  </si>
  <si>
    <t>Create cancel RSVP function</t>
  </si>
  <si>
    <t>Cancel registration</t>
  </si>
  <si>
    <t>WPT-123</t>
  </si>
  <si>
    <t>Create add to calendar action</t>
  </si>
  <si>
    <t>Calendar action placeholder</t>
  </si>
  <si>
    <t>WPT-124</t>
  </si>
  <si>
    <t>Notifications</t>
  </si>
  <si>
    <t>Shared notification feature</t>
  </si>
  <si>
    <t>WPT-125</t>
  </si>
  <si>
    <t>Create notification center</t>
  </si>
  <si>
    <t>Users can view notifications</t>
  </si>
  <si>
    <t>WPT-126</t>
  </si>
  <si>
    <t>Create notifications UI</t>
  </si>
  <si>
    <t>List notifications</t>
  </si>
  <si>
    <t>WPT-127</t>
  </si>
  <si>
    <t>Create notification API</t>
  </si>
  <si>
    <t>Fetch user notifications</t>
  </si>
  <si>
    <t>WPT-128</t>
  </si>
  <si>
    <t>Show unread notification count</t>
  </si>
  <si>
    <t>Navbar or dashboard count</t>
  </si>
  <si>
    <t>WPT-129</t>
  </si>
  <si>
    <t>Contact Support</t>
  </si>
  <si>
    <t>Contact WayPoint Support</t>
  </si>
  <si>
    <t>Shared contact form</t>
  </si>
  <si>
    <t>WPT-130</t>
  </si>
  <si>
    <t>Create Contact Us page</t>
  </si>
  <si>
    <t>WPT-131</t>
  </si>
  <si>
    <t>Create contact form UI</t>
  </si>
  <si>
    <t>Name email message category</t>
  </si>
  <si>
    <t>WPT-132</t>
  </si>
  <si>
    <t>Create submit support ticket API</t>
  </si>
  <si>
    <t>Save support request</t>
  </si>
  <si>
    <t>WPT-133</t>
  </si>
  <si>
    <t>Create confirmation message after submission</t>
  </si>
  <si>
    <t>Success message</t>
  </si>
  <si>
    <t>WPT-134</t>
  </si>
  <si>
    <t>Create support ticket ID generation</t>
  </si>
  <si>
    <t>Generate support reference number</t>
  </si>
  <si>
    <t>WPT-135</t>
  </si>
  <si>
    <t>Data Model and API</t>
  </si>
  <si>
    <t>Database Tables and Core APIs</t>
  </si>
  <si>
    <t>Backend data foundation</t>
  </si>
  <si>
    <t>WPT-136</t>
  </si>
  <si>
    <t>Data Model</t>
  </si>
  <si>
    <t>Create user and role data model</t>
  </si>
  <si>
    <t>WPT-137</t>
  </si>
  <si>
    <t>Create users table</t>
  </si>
  <si>
    <t>Common user table</t>
  </si>
  <si>
    <t>WPT-138</t>
  </si>
  <si>
    <t>Create employer profile table</t>
  </si>
  <si>
    <t>Company details</t>
  </si>
  <si>
    <t>WPT-139</t>
  </si>
  <si>
    <t>WPT-140</t>
  </si>
  <si>
    <t>Create jobs and applications data model</t>
  </si>
  <si>
    <t>WPT-141</t>
  </si>
  <si>
    <t>Create jobs table</t>
  </si>
  <si>
    <t>Job postings</t>
  </si>
  <si>
    <t>WPT-142</t>
  </si>
  <si>
    <t>Create applications table</t>
  </si>
  <si>
    <t>WPT-143</t>
  </si>
  <si>
    <t>Create application status field</t>
  </si>
  <si>
    <t>WPT-144</t>
  </si>
  <si>
    <t>Create events and registrations data model</t>
  </si>
  <si>
    <t>Events and RSVPs</t>
  </si>
  <si>
    <t>WPT-145</t>
  </si>
  <si>
    <t>Create events table</t>
  </si>
  <si>
    <t>Employer events</t>
  </si>
  <si>
    <t>WPT-146</t>
  </si>
  <si>
    <t>Create event registrations table</t>
  </si>
  <si>
    <t>WPT-147</t>
  </si>
  <si>
    <t>Create event status field</t>
  </si>
  <si>
    <t>Upcoming Completed Cancelled Postponed</t>
  </si>
  <si>
    <t>WPT-148</t>
  </si>
  <si>
    <t>Quality Assurance</t>
  </si>
  <si>
    <t>Testing and Validation</t>
  </si>
  <si>
    <t>QA coverage for application</t>
  </si>
  <si>
    <t>WPT-149</t>
  </si>
  <si>
    <t>QA</t>
  </si>
  <si>
    <t>Test employer portal flows</t>
  </si>
  <si>
    <t>Employer side testing</t>
  </si>
  <si>
    <t>WPT-150</t>
  </si>
  <si>
    <t>Test employer registration and login</t>
  </si>
  <si>
    <t>QA test</t>
  </si>
  <si>
    <t>WPT-151</t>
  </si>
  <si>
    <t>Test employer job management</t>
  </si>
  <si>
    <t>WPT-152</t>
  </si>
  <si>
    <t>Test employer event management</t>
  </si>
  <si>
    <t>WPT-153</t>
  </si>
  <si>
    <t>WPT-154</t>
  </si>
  <si>
    <t>WPT-155</t>
  </si>
  <si>
    <t>Test job search and application flow</t>
  </si>
  <si>
    <t>WPT-156</t>
  </si>
  <si>
    <t>Test event registration and cancellation</t>
  </si>
  <si>
    <t>WPT-157</t>
  </si>
  <si>
    <t>Test shared features</t>
  </si>
  <si>
    <t>Shared testing</t>
  </si>
  <si>
    <t>WPT-158</t>
  </si>
  <si>
    <t>Test profile menu actions</t>
  </si>
  <si>
    <t>WPT-159</t>
  </si>
  <si>
    <t>Test contact support form</t>
  </si>
  <si>
    <t>WPT-160</t>
  </si>
  <si>
    <t>Test notifications</t>
  </si>
  <si>
    <t>Name</t>
  </si>
  <si>
    <t>Role</t>
  </si>
  <si>
    <t>Primary Skill</t>
  </si>
  <si>
    <t>Active</t>
  </si>
  <si>
    <t>Yes</t>
  </si>
  <si>
    <t>Update role/skill later</t>
  </si>
  <si>
    <t>Vasavi</t>
  </si>
  <si>
    <t>Niharika</t>
  </si>
  <si>
    <t>Arun</t>
  </si>
  <si>
    <t>Giridhar</t>
  </si>
  <si>
    <t>Mahesh</t>
  </si>
  <si>
    <t>Jhansi</t>
  </si>
  <si>
    <t>Geethanjali</t>
  </si>
  <si>
    <t>Mani</t>
  </si>
  <si>
    <t>Unassigned</t>
  </si>
  <si>
    <t>No</t>
  </si>
  <si>
    <t>Default unassigned placeholder</t>
  </si>
  <si>
    <t>WayPoint Kanban Board</t>
  </si>
  <si>
    <t>WayPoint Workload Dashboard</t>
  </si>
  <si>
    <t>Team Member</t>
  </si>
  <si>
    <t>WayPoint Reports &amp; Charts</t>
  </si>
  <si>
    <t>Ticket Count</t>
  </si>
  <si>
    <t>Ticket Types</t>
  </si>
  <si>
    <t>Statuses</t>
  </si>
  <si>
    <t>Modules</t>
  </si>
  <si>
    <t>How to Use This Workbook</t>
  </si>
  <si>
    <t>1. Use the Tickets sheet as the main working backlog.</t>
  </si>
  <si>
    <t>The entire team can update Assignee, Status, Story Points, and Dates there.</t>
  </si>
  <si>
    <t>2. Add new tickets below the existing table.</t>
  </si>
  <si>
    <t>Use the next WPT number and keep the Parent ID to preserve Epic &gt; Story &gt; Task &gt; Subtask relationships.</t>
  </si>
  <si>
    <t>3. Use dropdowns to keep data consistent.</t>
  </si>
  <si>
    <t>Type, Module, Assignee, Status, and Story Points have built-in dropdowns.</t>
  </si>
  <si>
    <t>4. Dashboards update automatically.</t>
  </si>
  <si>
    <t>Home Dashboard, Workload Dashboard, Kanban Board, and Reports &amp; Charts are formula-driven.</t>
  </si>
  <si>
    <t>5. Completed work rule.</t>
  </si>
  <si>
    <t>Story points count as completed only when Status equals Done.</t>
  </si>
  <si>
    <t>6. Roles can be updated later.</t>
  </si>
  <si>
    <t>Update the Team Members sheet when roles and skills are finalized.</t>
  </si>
  <si>
    <t>7. No protection or macros.</t>
  </si>
  <si>
    <t>This workbook has no sheet protection, passwords, locked cells, hidden sheets, or macros — every cell is editable.</t>
  </si>
  <si>
    <t>In Review</t>
  </si>
  <si>
    <t>Bug</t>
  </si>
  <si>
    <t>Employer Application Management</t>
  </si>
  <si>
    <t>Employee Dashboard</t>
  </si>
  <si>
    <t>Employee Event Management</t>
  </si>
  <si>
    <t>Employee Job Management</t>
  </si>
  <si>
    <t>Employee Portal</t>
  </si>
  <si>
    <t>Employee Profile</t>
  </si>
  <si>
    <t>Common navbar for employer and Employee</t>
  </si>
  <si>
    <t>Employer and Employee authentication</t>
  </si>
  <si>
    <t>Employee registration</t>
  </si>
  <si>
    <t>Employee can create account</t>
  </si>
  <si>
    <t>Create Employee registration UI</t>
  </si>
  <si>
    <t>Create Employee registration API</t>
  </si>
  <si>
    <t>Save Employee account</t>
  </si>
  <si>
    <t>Validate Employee registration fields</t>
  </si>
  <si>
    <t>Login for employer and Employee</t>
  </si>
  <si>
    <t>Employer to employer dashboard Employee to Employee dashboard</t>
  </si>
  <si>
    <t>Show in progress Employees count</t>
  </si>
  <si>
    <t>Show hired Employees count</t>
  </si>
  <si>
    <t>Display Employees applied count</t>
  </si>
  <si>
    <t>View Employees for a job</t>
  </si>
  <si>
    <t>Create Employee applications list</t>
  </si>
  <si>
    <t>Create Employee details view</t>
  </si>
  <si>
    <t>Open Employee profile/application</t>
  </si>
  <si>
    <t>Employer Employee Status Management</t>
  </si>
  <si>
    <t>Employer manages Employee status</t>
  </si>
  <si>
    <t>Update Employee application status</t>
  </si>
  <si>
    <t>Move Employees through hiring status</t>
  </si>
  <si>
    <t>Display registered Employees count</t>
  </si>
  <si>
    <t>Display registered Employee list</t>
  </si>
  <si>
    <t>Employee registration details</t>
  </si>
  <si>
    <t>Employee Dashboard and Profile</t>
  </si>
  <si>
    <t>Employee side main experience</t>
  </si>
  <si>
    <t>Employee profile management</t>
  </si>
  <si>
    <t>Employee can manage profile</t>
  </si>
  <si>
    <t>Create Employee profile page</t>
  </si>
  <si>
    <t>Create edit Employee profile function</t>
  </si>
  <si>
    <t>Update Employee details</t>
  </si>
  <si>
    <t>Create Employee profile API</t>
  </si>
  <si>
    <t>Employee home dashboard</t>
  </si>
  <si>
    <t>Employee Job Dashboard and Applications</t>
  </si>
  <si>
    <t>Employee applies for jobs</t>
  </si>
  <si>
    <t>Employee can view available jobs</t>
  </si>
  <si>
    <t>Employee can submit application</t>
  </si>
  <si>
    <t>Employee sees submitted applications</t>
  </si>
  <si>
    <t>Employee can withdraw</t>
  </si>
  <si>
    <t>Employee Event Dashboard and RSVP</t>
  </si>
  <si>
    <t>Employee registers for events</t>
  </si>
  <si>
    <t>Employee can find events</t>
  </si>
  <si>
    <t>Employee can RSVP</t>
  </si>
  <si>
    <t>Employee sees RSVP status</t>
  </si>
  <si>
    <t>Employee tracks event RSVPs</t>
  </si>
  <si>
    <t>Events Employee registered for</t>
  </si>
  <si>
    <t>Notifications for Employee and Employer</t>
  </si>
  <si>
    <t>Same feature for employer and Employee</t>
  </si>
  <si>
    <t>Employer and Employee users</t>
  </si>
  <si>
    <t>Create Employee profile table</t>
  </si>
  <si>
    <t>Employee details and resume</t>
  </si>
  <si>
    <t>Jobs and Employee applications</t>
  </si>
  <si>
    <t>Employee applications</t>
  </si>
  <si>
    <t>Employee event registrations</t>
  </si>
  <si>
    <t>Test Employee portal flows</t>
  </si>
  <si>
    <t>Employee side testing</t>
  </si>
  <si>
    <t>Test Employee registration and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</si>
</sst>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yy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FFFFFF"/>
      <name val="Arial"/>
      <family val="2"/>
    </font>
    <font>
      <sz val="11"/>
      <color theme="1"/>
      <name val="Arial"/>
      <family val="2"/>
    </font>
    <font>
      <b/>
      <sz val="11"/>
      <color rgb="FF666666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6"/>
      <color rgb="FF000000"/>
      <name val="Arial"/>
      <family val="2"/>
    </font>
    <font>
      <b/>
      <sz val="11"/>
      <color rgb="FF1F4E78"/>
      <name val="Arial"/>
      <family val="2"/>
    </font>
    <font>
      <sz val="8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1F2"/>
      </patternFill>
    </fill>
    <fill>
      <patternFill patternType="solid">
        <fgColor rgb="FF8064A2"/>
        <bgColor rgb="FF666666"/>
      </patternFill>
    </fill>
    <fill>
      <patternFill patternType="solid">
        <fgColor rgb="FFEADCF8"/>
        <bgColor rgb="FFD9E1F2"/>
      </patternFill>
    </fill>
    <fill>
      <patternFill patternType="solid">
        <fgColor rgb="FF00A2A5"/>
        <bgColor rgb="FF008080"/>
      </patternFill>
    </fill>
    <fill>
      <patternFill patternType="solid">
        <fgColor rgb="FFE0F2F1"/>
        <bgColor rgb="FFD9EAF7"/>
      </patternFill>
    </fill>
    <fill>
      <patternFill patternType="solid">
        <fgColor rgb="FF5B9BD5"/>
        <bgColor rgb="FF4BACC6"/>
      </patternFill>
    </fill>
    <fill>
      <patternFill patternType="solid">
        <fgColor rgb="FF70AD47"/>
        <bgColor rgb="FF9BBB59"/>
      </patternFill>
    </fill>
    <fill>
      <patternFill patternType="solid">
        <fgColor rgb="FFBF9000"/>
        <bgColor rgb="FFC55A11"/>
      </patternFill>
    </fill>
    <fill>
      <patternFill patternType="solid">
        <fgColor rgb="FFC55A11"/>
        <bgColor rgb="FFC0504D"/>
      </patternFill>
    </fill>
    <fill>
      <patternFill patternType="solid">
        <fgColor rgb="FF548235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6" fillId="4" borderId="0" xfId="0" applyFont="1" applyFill="1" applyAlignment="1">
      <alignment horizontal="center" vertical="center" wrapText="1"/>
    </xf>
    <xf numFmtId="0" fontId="5" fillId="5" borderId="0" xfId="0" applyFont="1" applyFill="1"/>
    <xf numFmtId="0" fontId="6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/>
    </xf>
    <xf numFmtId="164" fontId="5" fillId="7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164" fontId="3" fillId="0" borderId="0" xfId="0" applyNumberFormat="1" applyFont="1"/>
    <xf numFmtId="0" fontId="8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6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6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rgb="FFD9EAD3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D9E1F2"/>
        </patternFill>
      </fill>
    </dxf>
    <dxf>
      <fill>
        <patternFill>
          <bgColor rgb="FFD9EAD3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D9E1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A2A5"/>
      <rgbColor rgb="FFD9E1F2"/>
      <rgbColor rgb="FF878787"/>
      <rgbColor rgb="FF5B9BD5"/>
      <rgbColor rgb="FFC0504D"/>
      <rgbColor rgb="FFFFF2CC"/>
      <rgbColor rgb="FFE0F2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2F0D9"/>
      <rgbColor rgb="FFFCE4D6"/>
      <rgbColor rgb="FFD9EAD3"/>
      <rgbColor rgb="FFFF99CC"/>
      <rgbColor rgb="FFEADCF8"/>
      <rgbColor rgb="FFF4B183"/>
      <rgbColor rgb="FF4F81BD"/>
      <rgbColor rgb="FF4BACC6"/>
      <rgbColor rgb="FF9BBB59"/>
      <rgbColor rgb="FFFFCC00"/>
      <rgbColor rgb="FFBF9000"/>
      <rgbColor rgb="FFC55A11"/>
      <rgbColor rgb="FF8064A2"/>
      <rgbColor rgb="FF999999"/>
      <rgbColor rgb="FF003366"/>
      <rgbColor rgb="FF70AD47"/>
      <rgbColor rgb="FF003300"/>
      <rgbColor rgb="FF333300"/>
      <rgbColor rgb="FF993300"/>
      <rgbColor rgb="FF6666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Tickets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'Home Dashboard'!$K$15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'Home Dashboard'!$J$16:$J$20</c:f>
              <c:strCache>
                <c:ptCount val="5"/>
                <c:pt idx="0">
                  <c:v>Backlog</c:v>
                </c:pt>
                <c:pt idx="1">
                  <c:v>Ready</c:v>
                </c:pt>
                <c:pt idx="2">
                  <c:v>In Progress</c:v>
                </c:pt>
                <c:pt idx="3">
                  <c:v>Testing</c:v>
                </c:pt>
                <c:pt idx="4">
                  <c:v>Done</c:v>
                </c:pt>
              </c:strCache>
            </c:strRef>
          </c:cat>
          <c:val>
            <c:numRef>
              <c:f>'Home Dashboard'!$K$16:$K$20</c:f>
              <c:numCache>
                <c:formatCode>General</c:formatCode>
                <c:ptCount val="5"/>
                <c:pt idx="0">
                  <c:v>150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7-894D-B229-9939E95F6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373480"/>
        <c:axId val="56868339"/>
      </c:barChart>
      <c:catAx>
        <c:axId val="353734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868339"/>
        <c:crosses val="autoZero"/>
        <c:auto val="1"/>
        <c:lblAlgn val="ctr"/>
        <c:lblOffset val="100"/>
        <c:noMultiLvlLbl val="0"/>
      </c:catAx>
      <c:valAx>
        <c:axId val="56868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3734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Assigned Story Points by Team Member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'Workload Dashboard'!$D$3</c:f>
              <c:strCache>
                <c:ptCount val="1"/>
                <c:pt idx="0">
                  <c:v>Assigned SP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'Workload Dashboard'!$A$4:$A$12</c:f>
              <c:strCache>
                <c:ptCount val="9"/>
                <c:pt idx="0">
                  <c:v>Pragna</c:v>
                </c:pt>
                <c:pt idx="1">
                  <c:v>Vasavi</c:v>
                </c:pt>
                <c:pt idx="2">
                  <c:v>Niharika</c:v>
                </c:pt>
                <c:pt idx="3">
                  <c:v>Arun</c:v>
                </c:pt>
                <c:pt idx="4">
                  <c:v>Giridhar</c:v>
                </c:pt>
                <c:pt idx="5">
                  <c:v>Mahesh</c:v>
                </c:pt>
                <c:pt idx="6">
                  <c:v>Jhansi</c:v>
                </c:pt>
                <c:pt idx="7">
                  <c:v>Geethanjali</c:v>
                </c:pt>
                <c:pt idx="8">
                  <c:v>Mani</c:v>
                </c:pt>
              </c:strCache>
            </c:strRef>
          </c:cat>
          <c:val>
            <c:numRef>
              <c:f>'Workload Dashboard'!$D$4:$D$12</c:f>
              <c:numCache>
                <c:formatCode>General</c:formatCode>
                <c:ptCount val="9"/>
                <c:pt idx="0">
                  <c:v>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26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3-C646-BB5A-D93452F89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11873"/>
        <c:axId val="66681966"/>
      </c:barChart>
      <c:catAx>
        <c:axId val="964118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Team Member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681966"/>
        <c:crosses val="autoZero"/>
        <c:auto val="1"/>
        <c:lblAlgn val="ctr"/>
        <c:lblOffset val="100"/>
        <c:noMultiLvlLbl val="0"/>
      </c:catAx>
      <c:valAx>
        <c:axId val="666819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411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Tickets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'Reports &amp; Charts'!$B$3</c:f>
              <c:strCache>
                <c:ptCount val="1"/>
                <c:pt idx="0">
                  <c:v>Ticket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83E-3049-88A6-14CF8512CB4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83E-3049-88A6-14CF8512CB4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83E-3049-88A6-14CF8512CB4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83E-3049-88A6-14CF8512CB4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83E-3049-88A6-14CF8512CB4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3E-3049-88A6-14CF8512CB4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3E-3049-88A6-14CF8512CB4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3E-3049-88A6-14CF8512CB4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3E-3049-88A6-14CF8512CB44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3E-3049-88A6-14CF8512CB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'Reports &amp; Charts'!$A$4:$A$8</c:f>
              <c:strCache>
                <c:ptCount val="5"/>
                <c:pt idx="0">
                  <c:v>Backlog</c:v>
                </c:pt>
                <c:pt idx="1">
                  <c:v>Ready</c:v>
                </c:pt>
                <c:pt idx="2">
                  <c:v>In Progress</c:v>
                </c:pt>
                <c:pt idx="3">
                  <c:v>Testing</c:v>
                </c:pt>
                <c:pt idx="4">
                  <c:v>Done</c:v>
                </c:pt>
              </c:strCache>
            </c:strRef>
          </c:cat>
          <c:val>
            <c:numRef>
              <c:f>'Reports &amp; Charts'!$B$4:$B$8</c:f>
              <c:numCache>
                <c:formatCode>General</c:formatCode>
                <c:ptCount val="5"/>
                <c:pt idx="0">
                  <c:v>150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3E-3049-88A6-14CF8512C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Tickets by Module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'Reports &amp; Charts'!$H$3</c:f>
              <c:strCache>
                <c:ptCount val="1"/>
                <c:pt idx="0">
                  <c:v>Ticket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'Reports &amp; Charts'!$G$4:$G$23</c:f>
              <c:strCache>
                <c:ptCount val="20"/>
                <c:pt idx="0">
                  <c:v>Authentication</c:v>
                </c:pt>
                <c:pt idx="1">
                  <c:v>Candidate Dashboard</c:v>
                </c:pt>
                <c:pt idx="2">
                  <c:v>Candidate Event Management</c:v>
                </c:pt>
                <c:pt idx="3">
                  <c:v>Candidate Job Management</c:v>
                </c:pt>
                <c:pt idx="4">
                  <c:v>Candidate Portal</c:v>
                </c:pt>
                <c:pt idx="5">
                  <c:v>Candidate Profile</c:v>
                </c:pt>
                <c:pt idx="6">
                  <c:v>Contact Support</c:v>
                </c:pt>
                <c:pt idx="7">
                  <c:v>Data Model</c:v>
                </c:pt>
                <c:pt idx="8">
                  <c:v>Data Model and API</c:v>
                </c:pt>
                <c:pt idx="9">
                  <c:v>Employer Application Tracking</c:v>
                </c:pt>
                <c:pt idx="10">
                  <c:v>Employer Dashboard</c:v>
                </c:pt>
                <c:pt idx="11">
                  <c:v>Employer Event Management</c:v>
                </c:pt>
                <c:pt idx="12">
                  <c:v>Employer Job Management</c:v>
                </c:pt>
                <c:pt idx="13">
                  <c:v>Employer Portal</c:v>
                </c:pt>
                <c:pt idx="14">
                  <c:v>Employer Profile</c:v>
                </c:pt>
                <c:pt idx="15">
                  <c:v>Notifications</c:v>
                </c:pt>
                <c:pt idx="16">
                  <c:v>Project Foundation</c:v>
                </c:pt>
                <c:pt idx="17">
                  <c:v>QA</c:v>
                </c:pt>
                <c:pt idx="18">
                  <c:v>Quality Assurance</c:v>
                </c:pt>
                <c:pt idx="19">
                  <c:v>Shared UI</c:v>
                </c:pt>
              </c:strCache>
            </c:strRef>
          </c:cat>
          <c:val>
            <c:numRef>
              <c:f>'Reports &amp; Charts'!$H$4:$H$23</c:f>
              <c:numCache>
                <c:formatCode>General</c:formatCode>
                <c:ptCount val="20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12</c:v>
                </c:pt>
                <c:pt idx="8">
                  <c:v>1</c:v>
                </c:pt>
                <c:pt idx="9">
                  <c:v>5</c:v>
                </c:pt>
                <c:pt idx="10">
                  <c:v>6</c:v>
                </c:pt>
                <c:pt idx="11">
                  <c:v>18</c:v>
                </c:pt>
                <c:pt idx="12">
                  <c:v>20</c:v>
                </c:pt>
                <c:pt idx="13">
                  <c:v>1</c:v>
                </c:pt>
                <c:pt idx="14">
                  <c:v>4</c:v>
                </c:pt>
                <c:pt idx="15">
                  <c:v>5</c:v>
                </c:pt>
                <c:pt idx="16">
                  <c:v>7</c:v>
                </c:pt>
                <c:pt idx="17">
                  <c:v>12</c:v>
                </c:pt>
                <c:pt idx="18">
                  <c:v>1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F24D-90BB-7871B6BDB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71697"/>
        <c:axId val="94761478"/>
      </c:barChart>
      <c:catAx>
        <c:axId val="422716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761478"/>
        <c:crosses val="autoZero"/>
        <c:auto val="1"/>
        <c:lblAlgn val="ctr"/>
        <c:lblOffset val="100"/>
        <c:noMultiLvlLbl val="0"/>
      </c:catAx>
      <c:valAx>
        <c:axId val="947614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2716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825500</xdr:colOff>
      <xdr:row>20</xdr:row>
      <xdr:rowOff>176600</xdr:rowOff>
    </xdr:from>
    <xdr:to>
      <xdr:col>10</xdr:col>
      <xdr:colOff>1048420</xdr:colOff>
      <xdr:row>34</xdr:row>
      <xdr:rowOff>29360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18</xdr:col>
      <xdr:colOff>147600</xdr:colOff>
      <xdr:row>16</xdr:row>
      <xdr:rowOff>62280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2</xdr:col>
      <xdr:colOff>138240</xdr:colOff>
      <xdr:row>25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317500</xdr:colOff>
      <xdr:row>22</xdr:row>
      <xdr:rowOff>50800</xdr:rowOff>
    </xdr:from>
    <xdr:to>
      <xdr:col>5</xdr:col>
      <xdr:colOff>1424860</xdr:colOff>
      <xdr:row>41</xdr:row>
      <xdr:rowOff>30940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Tickets" displayName="tblTickets" ref="A1:M161" totalsRowShown="0">
  <autoFilter ref="A1:M161" xr:uid="{00000000-0009-0000-0100-000002000000}"/>
  <tableColumns count="13">
    <tableColumn id="1" xr3:uid="{00000000-0010-0000-0000-000001000000}" name="Ticket ID"/>
    <tableColumn id="2" xr3:uid="{00000000-0010-0000-0000-000002000000}" name="Parent ID"/>
    <tableColumn id="3" xr3:uid="{00000000-0010-0000-0000-000003000000}" name="Type"/>
    <tableColumn id="4" xr3:uid="{00000000-0010-0000-0000-000004000000}" name="Module"/>
    <tableColumn id="5" xr3:uid="{00000000-0010-0000-0000-000005000000}" name="Title"/>
    <tableColumn id="6" xr3:uid="{00000000-0010-0000-0000-000006000000}" name="Assignee"/>
    <tableColumn id="7" xr3:uid="{00000000-0010-0000-0000-000007000000}" name="Status"/>
    <tableColumn id="8" xr3:uid="{00000000-0010-0000-0000-000008000000}" name="Story Points"/>
    <tableColumn id="9" xr3:uid="{00000000-0010-0000-0000-000009000000}" name="Created Date"/>
    <tableColumn id="10" xr3:uid="{00000000-0010-0000-0000-00000A000000}" name="Start Date"/>
    <tableColumn id="11" xr3:uid="{00000000-0010-0000-0000-00000B000000}" name="Target Date"/>
    <tableColumn id="12" xr3:uid="{00000000-0010-0000-0000-00000C000000}" name="Completed Date"/>
    <tableColumn id="13" xr3:uid="{00000000-0010-0000-0000-00000D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Team" displayName="tblTeam" ref="A1:E11" totalsRowShown="0">
  <autoFilter ref="A1:E11" xr:uid="{00000000-0009-0000-0100-000001000000}"/>
  <tableColumns count="5">
    <tableColumn id="1" xr3:uid="{00000000-0010-0000-0100-000001000000}" name="Name"/>
    <tableColumn id="2" xr3:uid="{00000000-0010-0000-0100-000002000000}" name="Role"/>
    <tableColumn id="3" xr3:uid="{00000000-0010-0000-0100-000003000000}" name="Primary Skill"/>
    <tableColumn id="4" xr3:uid="{00000000-0010-0000-0100-000004000000}" name="Active"/>
    <tableColumn id="5" xr3:uid="{00000000-0010-0000-0100-000005000000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Workload" displayName="tblWorkload" ref="A3:I12" totalsRowShown="0">
  <autoFilter ref="A3:I12" xr:uid="{00000000-0009-0000-0100-000003000000}"/>
  <tableColumns count="9">
    <tableColumn id="1" xr3:uid="{00000000-0010-0000-0200-000001000000}" name="Team Member"/>
    <tableColumn id="2" xr3:uid="{00000000-0010-0000-0200-000002000000}" name="Open Tickets"/>
    <tableColumn id="3" xr3:uid="{00000000-0010-0000-0200-000003000000}" name="Assigned Tickets"/>
    <tableColumn id="4" xr3:uid="{00000000-0010-0000-0200-000004000000}" name="Assigned SP"/>
    <tableColumn id="5" xr3:uid="{00000000-0010-0000-0200-000005000000}" name="Completed SP"/>
    <tableColumn id="6" xr3:uid="{00000000-0010-0000-0200-000006000000}" name="Remaining SP"/>
    <tableColumn id="7" xr3:uid="{00000000-0010-0000-0200-000007000000}" name="Completion %"/>
    <tableColumn id="8" xr3:uid="{00000000-0010-0000-0200-000008000000}" name="In Progress"/>
    <tableColumn id="9" xr3:uid="{00000000-0010-0000-0200-000009000000}" name="Test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E47888-6E83-E349-B1E3-E4DD2BA641C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caf31a7-0976-4b55-aefa-f1710b15606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K72"/>
  <sheetViews>
    <sheetView showGridLines="0" zoomScaleNormal="100" workbookViewId="0">
      <selection activeCell="D15" sqref="D15"/>
    </sheetView>
  </sheetViews>
  <sheetFormatPr baseColWidth="10" defaultColWidth="8.6640625" defaultRowHeight="15" x14ac:dyDescent="0.2"/>
  <cols>
    <col min="1" max="3" width="16" customWidth="1"/>
    <col min="4" max="6" width="18" customWidth="1"/>
    <col min="7" max="11" width="16" customWidth="1"/>
  </cols>
  <sheetData>
    <row r="1" spans="1:11" ht="30" customHeight="1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"/>
    </row>
    <row r="2" spans="1:1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3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3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3" t="s">
        <v>5</v>
      </c>
      <c r="B5" s="4" t="s">
        <v>6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0" t="s">
        <v>7</v>
      </c>
      <c r="B7" s="20"/>
      <c r="C7" s="20" t="s">
        <v>8</v>
      </c>
      <c r="D7" s="20"/>
      <c r="E7" s="20" t="s">
        <v>9</v>
      </c>
      <c r="F7" s="20"/>
      <c r="G7" s="20" t="s">
        <v>10</v>
      </c>
      <c r="H7" s="20"/>
      <c r="I7" s="20" t="s">
        <v>11</v>
      </c>
      <c r="J7" s="20"/>
      <c r="K7" s="2"/>
    </row>
    <row r="8" spans="1:11" ht="20" x14ac:dyDescent="0.2">
      <c r="A8" s="18">
        <f>COUNTA(tblTickets[Ticket ID])</f>
        <v>160</v>
      </c>
      <c r="B8" s="18"/>
      <c r="C8" s="18">
        <f>COUNTIF(tblTickets[Status],"Backlog")</f>
        <v>150</v>
      </c>
      <c r="D8" s="18"/>
      <c r="E8" s="18">
        <f>COUNTIF(tblTickets[Status],"Ready")</f>
        <v>0</v>
      </c>
      <c r="F8" s="18"/>
      <c r="G8" s="18">
        <f>COUNTIF(tblTickets[Status],"In Progress")</f>
        <v>5</v>
      </c>
      <c r="H8" s="18"/>
      <c r="I8" s="18">
        <f>COUNTIF(tblTickets[Status],"Testing")</f>
        <v>0</v>
      </c>
      <c r="J8" s="18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0" t="s">
        <v>12</v>
      </c>
      <c r="B10" s="20"/>
      <c r="C10" s="20" t="s">
        <v>13</v>
      </c>
      <c r="D10" s="20"/>
      <c r="E10" s="20" t="s">
        <v>14</v>
      </c>
      <c r="F10" s="20"/>
      <c r="G10" s="20" t="s">
        <v>15</v>
      </c>
      <c r="H10" s="20"/>
      <c r="I10" s="20" t="s">
        <v>16</v>
      </c>
      <c r="J10" s="20"/>
      <c r="K10" s="2"/>
    </row>
    <row r="11" spans="1:11" ht="20" x14ac:dyDescent="0.2">
      <c r="A11" s="18">
        <f>COUNTIF(tblTickets[Status],"Done")</f>
        <v>5</v>
      </c>
      <c r="B11" s="18"/>
      <c r="C11" s="18">
        <f>SUM(tblTickets[Story Points])</f>
        <v>722</v>
      </c>
      <c r="D11" s="18"/>
      <c r="E11" s="18">
        <f>SUMIFS(tblTickets[Story Points],tblTickets[Status],"Done")</f>
        <v>18</v>
      </c>
      <c r="F11" s="18"/>
      <c r="G11" s="18">
        <f>SUM(tblTickets[Story Points])-SUMIFS(tblTickets[Story Points],tblTickets[Status],"Done")</f>
        <v>704</v>
      </c>
      <c r="H11" s="18"/>
      <c r="I11" s="19">
        <f>IFERROR(SUMIFS(tblTickets[Story Points],tblTickets[Status],"Done")/SUM(tblTickets[Story Points]),0)</f>
        <v>2.4930747922437674E-2</v>
      </c>
      <c r="J11" s="19"/>
      <c r="K11" s="2"/>
    </row>
    <row r="12" spans="1:1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30" x14ac:dyDescent="0.2">
      <c r="A15" s="5" t="s">
        <v>17</v>
      </c>
      <c r="B15" s="6" t="s">
        <v>42</v>
      </c>
      <c r="C15" s="2"/>
      <c r="D15" s="2"/>
      <c r="E15" s="2"/>
      <c r="F15" s="2"/>
      <c r="G15" s="2"/>
      <c r="H15" s="2"/>
      <c r="I15" s="2"/>
      <c r="J15" s="7" t="s">
        <v>19</v>
      </c>
      <c r="K15" s="7" t="s">
        <v>20</v>
      </c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 t="s">
        <v>8</v>
      </c>
      <c r="K16" s="2">
        <f>COUNTIF(tblTickets[Status],J16)</f>
        <v>150</v>
      </c>
    </row>
    <row r="17" spans="1:11" ht="30" x14ac:dyDescent="0.2">
      <c r="A17" s="7" t="s">
        <v>21</v>
      </c>
      <c r="B17" s="7" t="s">
        <v>22</v>
      </c>
      <c r="C17" s="7" t="s">
        <v>23</v>
      </c>
      <c r="D17" s="7" t="s">
        <v>24</v>
      </c>
      <c r="E17" s="7" t="s">
        <v>14</v>
      </c>
      <c r="F17" s="7" t="s">
        <v>15</v>
      </c>
      <c r="G17" s="7" t="s">
        <v>16</v>
      </c>
      <c r="H17" s="7" t="s">
        <v>10</v>
      </c>
      <c r="I17" s="7" t="s">
        <v>11</v>
      </c>
      <c r="J17" s="2" t="s">
        <v>9</v>
      </c>
      <c r="K17" s="2">
        <f>COUNTIF(tblTickets[Status],J17)</f>
        <v>0</v>
      </c>
    </row>
    <row r="18" spans="1:11" x14ac:dyDescent="0.2">
      <c r="A18" s="8">
        <f>COUNTIF(tblTickets[Assignee],$B$15)</f>
        <v>136</v>
      </c>
      <c r="B18" s="8">
        <f>COUNTIFS(tblTickets[Assignee],$B$15,tblTickets[Status],"&lt;&gt;Done")</f>
        <v>136</v>
      </c>
      <c r="C18" s="8">
        <f>COUNTIFS(tblTickets[Assignee],$B$15,tblTickets[Status],"Done")</f>
        <v>0</v>
      </c>
      <c r="D18" s="8">
        <f>SUMIF(tblTickets[Assignee],$B$15,tblTickets[Story Points])</f>
        <v>620</v>
      </c>
      <c r="E18" s="8">
        <f>SUMIFS(tblTickets[Story Points],tblTickets[Assignee],$B$15,tblTickets[Status],"Done")</f>
        <v>0</v>
      </c>
      <c r="F18" s="8">
        <f>SUMIF(tblTickets[Assignee],$B$15,tblTickets[Story Points])-SUMIFS(tblTickets[Story Points],tblTickets[Assignee],$B$15,tblTickets[Status],"Done")</f>
        <v>620</v>
      </c>
      <c r="G18" s="9">
        <f>IFERROR(SUMIFS(tblTickets[Story Points],tblTickets[Assignee],$B$15,tblTickets[Status],"Done")/SUMIF(tblTickets[Assignee],$B$15,tblTickets[Story Points]),0)</f>
        <v>0</v>
      </c>
      <c r="H18" s="8">
        <f>COUNTIFS(tblTickets[Assignee],$B$15,tblTickets[Status],"In Progress")</f>
        <v>0</v>
      </c>
      <c r="I18" s="8">
        <f>COUNTIFS(tblTickets[Assignee],$B$15,tblTickets[Status],"Testing")</f>
        <v>0</v>
      </c>
      <c r="J18" s="2" t="s">
        <v>10</v>
      </c>
      <c r="K18" s="2">
        <f>COUNTIF(tblTickets[Status],J18)</f>
        <v>5</v>
      </c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 t="s">
        <v>11</v>
      </c>
      <c r="K19" s="2">
        <f>COUNTIF(tblTickets[Status],J19)</f>
        <v>0</v>
      </c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 t="s">
        <v>12</v>
      </c>
      <c r="K20" s="2">
        <f>COUNTIF(tblTickets[Status],J20)</f>
        <v>5</v>
      </c>
    </row>
    <row r="21" spans="1:11" ht="15" customHeight="1" x14ac:dyDescent="0.2">
      <c r="A21" s="17" t="s">
        <v>25</v>
      </c>
      <c r="B21" s="17"/>
      <c r="C21" s="17"/>
      <c r="D21" s="17"/>
      <c r="E21" s="17"/>
      <c r="F21" s="17"/>
      <c r="G21" s="2"/>
      <c r="H21" s="2"/>
      <c r="I21" s="2"/>
      <c r="J21" s="2"/>
      <c r="K21" s="2"/>
    </row>
    <row r="22" spans="1:11" x14ac:dyDescent="0.2">
      <c r="A22" s="10" t="s">
        <v>26</v>
      </c>
      <c r="B22" s="10" t="s">
        <v>27</v>
      </c>
      <c r="C22" s="10" t="s">
        <v>28</v>
      </c>
      <c r="D22" s="10" t="s">
        <v>29</v>
      </c>
      <c r="E22" s="10" t="s">
        <v>19</v>
      </c>
      <c r="F22" s="10" t="s">
        <v>30</v>
      </c>
      <c r="G22" s="2"/>
      <c r="H22" s="2"/>
      <c r="I22" s="2"/>
      <c r="J22" s="2"/>
      <c r="K22" s="2"/>
    </row>
    <row r="23" spans="1:11" x14ac:dyDescent="0.2">
      <c r="A23" t="str">
        <f>IFERROR(INDEX(Tickets!$A$2:$A$161,_xlfn.AGGREGATE(15,6,(ROW(Tickets!$F$2:$F$161)-ROW(Tickets!$F$2)+1)/(Tickets!$F$2:$F$161=$B$15),ROWS($A$23:A23))),"")</f>
        <v>WPT-024</v>
      </c>
      <c r="B23" t="str">
        <f>IFERROR(INDEX(Tickets!$C$2:$C$161,_xlfn.AGGREGATE(15,6,(ROW(Tickets!$F$2:$F$161)-ROW(Tickets!$F$2)+1)/(Tickets!$F$2:$F$161=$B$15),ROWS($A$23:A23))),"")</f>
        <v>Story</v>
      </c>
      <c r="C23" t="str">
        <f>IFERROR(INDEX(Tickets!$D$2:$D$161,_xlfn.AGGREGATE(15,6,(ROW(Tickets!$F$2:$F$161)-ROW(Tickets!$F$2)+1)/(Tickets!$F$2:$F$161=$B$15),ROWS($A$23:A23))),"")</f>
        <v>Authentication</v>
      </c>
      <c r="D23" t="str">
        <f>IFERROR(INDEX(Tickets!$E$2:$E$161,_xlfn.AGGREGATE(15,6,(ROW(Tickets!$F$2:$F$161)-ROW(Tickets!$F$2)+1)/(Tickets!$F$2:$F$161=$B$15),ROWS($A$23:A23))),"")</f>
        <v>Password and logout management</v>
      </c>
      <c r="E23" t="str">
        <f>IFERROR(INDEX(Tickets!$G$2:$G$161,_xlfn.AGGREGATE(15,6,(ROW(Tickets!$F$2:$F$161)-ROW(Tickets!$F$2)+1)/(Tickets!$F$2:$F$161=$B$15),ROWS($A$23:A23))),"")</f>
        <v>Backlog</v>
      </c>
      <c r="F23">
        <f>IFERROR(INDEX(Tickets!$H$2:$H$161,_xlfn.AGGREGATE(15,6,(ROW(Tickets!$F$2:$F$161)-ROW(Tickets!$F$2)+1)/(Tickets!$F$2:$F$161=$B$15),ROWS($A$23:A23))),"")</f>
        <v>5</v>
      </c>
      <c r="G23" s="2"/>
      <c r="H23" s="2"/>
      <c r="I23" s="2"/>
      <c r="J23" s="2"/>
      <c r="K23" s="2"/>
    </row>
    <row r="24" spans="1:11" x14ac:dyDescent="0.2">
      <c r="A24" t="str">
        <f>IFERROR(INDEX(Tickets!$A$2:$A$161,_xlfn.AGGREGATE(15,6,(ROW(Tickets!$F$2:$F$161)-ROW(Tickets!$F$2)+1)/(Tickets!$F$2:$F$161=$B$15),ROWS($A$23:A24))),"")</f>
        <v>WPT-025</v>
      </c>
      <c r="B24" t="str">
        <f>IFERROR(INDEX(Tickets!$C$2:$C$161,_xlfn.AGGREGATE(15,6,(ROW(Tickets!$F$2:$F$161)-ROW(Tickets!$F$2)+1)/(Tickets!$F$2:$F$161=$B$15),ROWS($A$23:A24))),"")</f>
        <v>Task</v>
      </c>
      <c r="C24" t="str">
        <f>IFERROR(INDEX(Tickets!$D$2:$D$161,_xlfn.AGGREGATE(15,6,(ROW(Tickets!$F$2:$F$161)-ROW(Tickets!$F$2)+1)/(Tickets!$F$2:$F$161=$B$15),ROWS($A$23:A24))),"")</f>
        <v>Authentication</v>
      </c>
      <c r="D24" t="str">
        <f>IFERROR(INDEX(Tickets!$E$2:$E$161,_xlfn.AGGREGATE(15,6,(ROW(Tickets!$F$2:$F$161)-ROW(Tickets!$F$2)+1)/(Tickets!$F$2:$F$161=$B$15),ROWS($A$23:A24))),"")</f>
        <v>Create change password screen</v>
      </c>
      <c r="E24" t="str">
        <f>IFERROR(INDEX(Tickets!$G$2:$G$161,_xlfn.AGGREGATE(15,6,(ROW(Tickets!$F$2:$F$161)-ROW(Tickets!$F$2)+1)/(Tickets!$F$2:$F$161=$B$15),ROWS($A$23:A24))),"")</f>
        <v>Backlog</v>
      </c>
      <c r="F24">
        <f>IFERROR(INDEX(Tickets!$H$2:$H$161,_xlfn.AGGREGATE(15,6,(ROW(Tickets!$F$2:$F$161)-ROW(Tickets!$F$2)+1)/(Tickets!$F$2:$F$161=$B$15),ROWS($A$23:A24))),"")</f>
        <v>3</v>
      </c>
      <c r="G24" s="2"/>
      <c r="H24" s="2"/>
      <c r="I24" s="2"/>
      <c r="J24" s="2"/>
      <c r="K24" s="2"/>
    </row>
    <row r="25" spans="1:11" x14ac:dyDescent="0.2">
      <c r="A25" t="str">
        <f>IFERROR(INDEX(Tickets!$A$2:$A$161,_xlfn.AGGREGATE(15,6,(ROW(Tickets!$F$2:$F$161)-ROW(Tickets!$F$2)+1)/(Tickets!$F$2:$F$161=$B$15),ROWS($A$23:A25))),"")</f>
        <v>WPT-026</v>
      </c>
      <c r="B25" t="str">
        <f>IFERROR(INDEX(Tickets!$C$2:$C$161,_xlfn.AGGREGATE(15,6,(ROW(Tickets!$F$2:$F$161)-ROW(Tickets!$F$2)+1)/(Tickets!$F$2:$F$161=$B$15),ROWS($A$23:A25))),"")</f>
        <v>Task</v>
      </c>
      <c r="C25" t="str">
        <f>IFERROR(INDEX(Tickets!$D$2:$D$161,_xlfn.AGGREGATE(15,6,(ROW(Tickets!$F$2:$F$161)-ROW(Tickets!$F$2)+1)/(Tickets!$F$2:$F$161=$B$15),ROWS($A$23:A25))),"")</f>
        <v>Authentication</v>
      </c>
      <c r="D25" t="str">
        <f>IFERROR(INDEX(Tickets!$E$2:$E$161,_xlfn.AGGREGATE(15,6,(ROW(Tickets!$F$2:$F$161)-ROW(Tickets!$F$2)+1)/(Tickets!$F$2:$F$161=$B$15),ROWS($A$23:A25))),"")</f>
        <v>Create logout function</v>
      </c>
      <c r="E25" t="str">
        <f>IFERROR(INDEX(Tickets!$G$2:$G$161,_xlfn.AGGREGATE(15,6,(ROW(Tickets!$F$2:$F$161)-ROW(Tickets!$F$2)+1)/(Tickets!$F$2:$F$161=$B$15),ROWS($A$23:A25))),"")</f>
        <v>Backlog</v>
      </c>
      <c r="F25">
        <f>IFERROR(INDEX(Tickets!$H$2:$H$161,_xlfn.AGGREGATE(15,6,(ROW(Tickets!$F$2:$F$161)-ROW(Tickets!$F$2)+1)/(Tickets!$F$2:$F$161=$B$15),ROWS($A$23:A25))),"")</f>
        <v>2</v>
      </c>
      <c r="G25" s="2"/>
      <c r="H25" s="2"/>
      <c r="I25" s="2"/>
      <c r="J25" s="2"/>
      <c r="K25" s="2"/>
    </row>
    <row r="26" spans="1:11" x14ac:dyDescent="0.2">
      <c r="A26" t="str">
        <f>IFERROR(INDEX(Tickets!$A$2:$A$161,_xlfn.AGGREGATE(15,6,(ROW(Tickets!$F$2:$F$161)-ROW(Tickets!$F$2)+1)/(Tickets!$F$2:$F$161=$B$15),ROWS($A$23:A26))),"")</f>
        <v>WPT-027</v>
      </c>
      <c r="B26" t="str">
        <f>IFERROR(INDEX(Tickets!$C$2:$C$161,_xlfn.AGGREGATE(15,6,(ROW(Tickets!$F$2:$F$161)-ROW(Tickets!$F$2)+1)/(Tickets!$F$2:$F$161=$B$15),ROWS($A$23:A26))),"")</f>
        <v>Epic</v>
      </c>
      <c r="C26" t="str">
        <f>IFERROR(INDEX(Tickets!$D$2:$D$161,_xlfn.AGGREGATE(15,6,(ROW(Tickets!$F$2:$F$161)-ROW(Tickets!$F$2)+1)/(Tickets!$F$2:$F$161=$B$15),ROWS($A$23:A26))),"")</f>
        <v>Employer Portal</v>
      </c>
      <c r="D26" t="str">
        <f>IFERROR(INDEX(Tickets!$E$2:$E$161,_xlfn.AGGREGATE(15,6,(ROW(Tickets!$F$2:$F$161)-ROW(Tickets!$F$2)+1)/(Tickets!$F$2:$F$161=$B$15),ROWS($A$23:A26))),"")</f>
        <v>Employer Dashboard and Profile</v>
      </c>
      <c r="E26" t="str">
        <f>IFERROR(INDEX(Tickets!$G$2:$G$161,_xlfn.AGGREGATE(15,6,(ROW(Tickets!$F$2:$F$161)-ROW(Tickets!$F$2)+1)/(Tickets!$F$2:$F$161=$B$15),ROWS($A$23:A26))),"")</f>
        <v>Backlog</v>
      </c>
      <c r="F26">
        <f>IFERROR(INDEX(Tickets!$H$2:$H$161,_xlfn.AGGREGATE(15,6,(ROW(Tickets!$F$2:$F$161)-ROW(Tickets!$F$2)+1)/(Tickets!$F$2:$F$161=$B$15),ROWS($A$23:A26))),"")</f>
        <v>0</v>
      </c>
      <c r="G26" s="2"/>
      <c r="H26" s="2"/>
      <c r="I26" s="2"/>
      <c r="J26" s="2"/>
      <c r="K26" s="2"/>
    </row>
    <row r="27" spans="1:11" x14ac:dyDescent="0.2">
      <c r="A27" t="str">
        <f>IFERROR(INDEX(Tickets!$A$2:$A$161,_xlfn.AGGREGATE(15,6,(ROW(Tickets!$F$2:$F$161)-ROW(Tickets!$F$2)+1)/(Tickets!$F$2:$F$161=$B$15),ROWS($A$23:A27))),"")</f>
        <v>WPT-028</v>
      </c>
      <c r="B27" t="str">
        <f>IFERROR(INDEX(Tickets!$C$2:$C$161,_xlfn.AGGREGATE(15,6,(ROW(Tickets!$F$2:$F$161)-ROW(Tickets!$F$2)+1)/(Tickets!$F$2:$F$161=$B$15),ROWS($A$23:A27))),"")</f>
        <v>Story</v>
      </c>
      <c r="C27" t="str">
        <f>IFERROR(INDEX(Tickets!$D$2:$D$161,_xlfn.AGGREGATE(15,6,(ROW(Tickets!$F$2:$F$161)-ROW(Tickets!$F$2)+1)/(Tickets!$F$2:$F$161=$B$15),ROWS($A$23:A27))),"")</f>
        <v>Employer Profile</v>
      </c>
      <c r="D27" t="str">
        <f>IFERROR(INDEX(Tickets!$E$2:$E$161,_xlfn.AGGREGATE(15,6,(ROW(Tickets!$F$2:$F$161)-ROW(Tickets!$F$2)+1)/(Tickets!$F$2:$F$161=$B$15),ROWS($A$23:A27))),"")</f>
        <v>Employer profile management</v>
      </c>
      <c r="E27" t="str">
        <f>IFERROR(INDEX(Tickets!$G$2:$G$161,_xlfn.AGGREGATE(15,6,(ROW(Tickets!$F$2:$F$161)-ROW(Tickets!$F$2)+1)/(Tickets!$F$2:$F$161=$B$15),ROWS($A$23:A27))),"")</f>
        <v>Backlog</v>
      </c>
      <c r="F27">
        <f>IFERROR(INDEX(Tickets!$H$2:$H$161,_xlfn.AGGREGATE(15,6,(ROW(Tickets!$F$2:$F$161)-ROW(Tickets!$F$2)+1)/(Tickets!$F$2:$F$161=$B$15),ROWS($A$23:A27))),"")</f>
        <v>8</v>
      </c>
      <c r="G27" s="2"/>
      <c r="H27" s="2"/>
      <c r="I27" s="2"/>
      <c r="J27" s="2"/>
      <c r="K27" s="2"/>
    </row>
    <row r="28" spans="1:11" x14ac:dyDescent="0.2">
      <c r="A28" t="str">
        <f>IFERROR(INDEX(Tickets!$A$2:$A$161,_xlfn.AGGREGATE(15,6,(ROW(Tickets!$F$2:$F$161)-ROW(Tickets!$F$2)+1)/(Tickets!$F$2:$F$161=$B$15),ROWS($A$23:A28))),"")</f>
        <v>WPT-029</v>
      </c>
      <c r="B28" t="str">
        <f>IFERROR(INDEX(Tickets!$C$2:$C$161,_xlfn.AGGREGATE(15,6,(ROW(Tickets!$F$2:$F$161)-ROW(Tickets!$F$2)+1)/(Tickets!$F$2:$F$161=$B$15),ROWS($A$23:A28))),"")</f>
        <v>Task</v>
      </c>
      <c r="C28" t="str">
        <f>IFERROR(INDEX(Tickets!$D$2:$D$161,_xlfn.AGGREGATE(15,6,(ROW(Tickets!$F$2:$F$161)-ROW(Tickets!$F$2)+1)/(Tickets!$F$2:$F$161=$B$15),ROWS($A$23:A28))),"")</f>
        <v>Employer Profile</v>
      </c>
      <c r="D28" t="str">
        <f>IFERROR(INDEX(Tickets!$E$2:$E$161,_xlfn.AGGREGATE(15,6,(ROW(Tickets!$F$2:$F$161)-ROW(Tickets!$F$2)+1)/(Tickets!$F$2:$F$161=$B$15),ROWS($A$23:A28))),"")</f>
        <v>Create employer profile page</v>
      </c>
      <c r="E28" t="str">
        <f>IFERROR(INDEX(Tickets!$G$2:$G$161,_xlfn.AGGREGATE(15,6,(ROW(Tickets!$F$2:$F$161)-ROW(Tickets!$F$2)+1)/(Tickets!$F$2:$F$161=$B$15),ROWS($A$23:A28))),"")</f>
        <v>Backlog</v>
      </c>
      <c r="F28">
        <f>IFERROR(INDEX(Tickets!$H$2:$H$161,_xlfn.AGGREGATE(15,6,(ROW(Tickets!$F$2:$F$161)-ROW(Tickets!$F$2)+1)/(Tickets!$F$2:$F$161=$B$15),ROWS($A$23:A28))),"")</f>
        <v>5</v>
      </c>
      <c r="G28" s="2"/>
      <c r="H28" s="2"/>
      <c r="I28" s="2"/>
      <c r="J28" s="2"/>
      <c r="K28" s="2"/>
    </row>
    <row r="29" spans="1:11" x14ac:dyDescent="0.2">
      <c r="A29" t="str">
        <f>IFERROR(INDEX(Tickets!$A$2:$A$161,_xlfn.AGGREGATE(15,6,(ROW(Tickets!$F$2:$F$161)-ROW(Tickets!$F$2)+1)/(Tickets!$F$2:$F$161=$B$15),ROWS($A$23:A29))),"")</f>
        <v>WPT-030</v>
      </c>
      <c r="B29" t="str">
        <f>IFERROR(INDEX(Tickets!$C$2:$C$161,_xlfn.AGGREGATE(15,6,(ROW(Tickets!$F$2:$F$161)-ROW(Tickets!$F$2)+1)/(Tickets!$F$2:$F$161=$B$15),ROWS($A$23:A29))),"")</f>
        <v>Task</v>
      </c>
      <c r="C29" t="str">
        <f>IFERROR(INDEX(Tickets!$D$2:$D$161,_xlfn.AGGREGATE(15,6,(ROW(Tickets!$F$2:$F$161)-ROW(Tickets!$F$2)+1)/(Tickets!$F$2:$F$161=$B$15),ROWS($A$23:A29))),"")</f>
        <v>Employer Profile</v>
      </c>
      <c r="D29" t="str">
        <f>IFERROR(INDEX(Tickets!$E$2:$E$161,_xlfn.AGGREGATE(15,6,(ROW(Tickets!$F$2:$F$161)-ROW(Tickets!$F$2)+1)/(Tickets!$F$2:$F$161=$B$15),ROWS($A$23:A29))),"")</f>
        <v>Create edit company profile function</v>
      </c>
      <c r="E29" t="str">
        <f>IFERROR(INDEX(Tickets!$G$2:$G$161,_xlfn.AGGREGATE(15,6,(ROW(Tickets!$F$2:$F$161)-ROW(Tickets!$F$2)+1)/(Tickets!$F$2:$F$161=$B$15),ROWS($A$23:A29))),"")</f>
        <v>Backlog</v>
      </c>
      <c r="F29">
        <f>IFERROR(INDEX(Tickets!$H$2:$H$161,_xlfn.AGGREGATE(15,6,(ROW(Tickets!$F$2:$F$161)-ROW(Tickets!$F$2)+1)/(Tickets!$F$2:$F$161=$B$15),ROWS($A$23:A29))),"")</f>
        <v>5</v>
      </c>
      <c r="G29" s="2"/>
      <c r="H29" s="2"/>
      <c r="I29" s="2"/>
      <c r="J29" s="2"/>
      <c r="K29" s="2"/>
    </row>
    <row r="30" spans="1:11" x14ac:dyDescent="0.2">
      <c r="A30" t="str">
        <f>IFERROR(INDEX(Tickets!$A$2:$A$161,_xlfn.AGGREGATE(15,6,(ROW(Tickets!$F$2:$F$161)-ROW(Tickets!$F$2)+1)/(Tickets!$F$2:$F$161=$B$15),ROWS($A$23:A30))),"")</f>
        <v>WPT-031</v>
      </c>
      <c r="B30" t="str">
        <f>IFERROR(INDEX(Tickets!$C$2:$C$161,_xlfn.AGGREGATE(15,6,(ROW(Tickets!$F$2:$F$161)-ROW(Tickets!$F$2)+1)/(Tickets!$F$2:$F$161=$B$15),ROWS($A$23:A30))),"")</f>
        <v>Task</v>
      </c>
      <c r="C30" t="str">
        <f>IFERROR(INDEX(Tickets!$D$2:$D$161,_xlfn.AGGREGATE(15,6,(ROW(Tickets!$F$2:$F$161)-ROW(Tickets!$F$2)+1)/(Tickets!$F$2:$F$161=$B$15),ROWS($A$23:A30))),"")</f>
        <v>Employer Profile</v>
      </c>
      <c r="D30" t="str">
        <f>IFERROR(INDEX(Tickets!$E$2:$E$161,_xlfn.AGGREGATE(15,6,(ROW(Tickets!$F$2:$F$161)-ROW(Tickets!$F$2)+1)/(Tickets!$F$2:$F$161=$B$15),ROWS($A$23:A30))),"")</f>
        <v>Create employer profile API</v>
      </c>
      <c r="E30" t="str">
        <f>IFERROR(INDEX(Tickets!$G$2:$G$161,_xlfn.AGGREGATE(15,6,(ROW(Tickets!$F$2:$F$161)-ROW(Tickets!$F$2)+1)/(Tickets!$F$2:$F$161=$B$15),ROWS($A$23:A30))),"")</f>
        <v>Backlog</v>
      </c>
      <c r="F30">
        <f>IFERROR(INDEX(Tickets!$H$2:$H$161,_xlfn.AGGREGATE(15,6,(ROW(Tickets!$F$2:$F$161)-ROW(Tickets!$F$2)+1)/(Tickets!$F$2:$F$161=$B$15),ROWS($A$23:A30))),"")</f>
        <v>5</v>
      </c>
      <c r="G30" s="2"/>
      <c r="H30" s="2"/>
      <c r="I30" s="2"/>
      <c r="J30" s="2"/>
      <c r="K30" s="2"/>
    </row>
    <row r="31" spans="1:11" x14ac:dyDescent="0.2">
      <c r="A31" t="str">
        <f>IFERROR(INDEX(Tickets!$A$2:$A$161,_xlfn.AGGREGATE(15,6,(ROW(Tickets!$F$2:$F$161)-ROW(Tickets!$F$2)+1)/(Tickets!$F$2:$F$161=$B$15),ROWS($A$23:A31))),"")</f>
        <v>WPT-032</v>
      </c>
      <c r="B31" t="str">
        <f>IFERROR(INDEX(Tickets!$C$2:$C$161,_xlfn.AGGREGATE(15,6,(ROW(Tickets!$F$2:$F$161)-ROW(Tickets!$F$2)+1)/(Tickets!$F$2:$F$161=$B$15),ROWS($A$23:A31))),"")</f>
        <v>Story</v>
      </c>
      <c r="C31" t="str">
        <f>IFERROR(INDEX(Tickets!$D$2:$D$161,_xlfn.AGGREGATE(15,6,(ROW(Tickets!$F$2:$F$161)-ROW(Tickets!$F$2)+1)/(Tickets!$F$2:$F$161=$B$15),ROWS($A$23:A31))),"")</f>
        <v>Employer Dashboard</v>
      </c>
      <c r="D31" t="str">
        <f>IFERROR(INDEX(Tickets!$E$2:$E$161,_xlfn.AGGREGATE(15,6,(ROW(Tickets!$F$2:$F$161)-ROW(Tickets!$F$2)+1)/(Tickets!$F$2:$F$161=$B$15),ROWS($A$23:A31))),"")</f>
        <v>Employer home dashboard</v>
      </c>
      <c r="E31" t="str">
        <f>IFERROR(INDEX(Tickets!$G$2:$G$161,_xlfn.AGGREGATE(15,6,(ROW(Tickets!$F$2:$F$161)-ROW(Tickets!$F$2)+1)/(Tickets!$F$2:$F$161=$B$15),ROWS($A$23:A31))),"")</f>
        <v>Backlog</v>
      </c>
      <c r="F31">
        <f>IFERROR(INDEX(Tickets!$H$2:$H$161,_xlfn.AGGREGATE(15,6,(ROW(Tickets!$F$2:$F$161)-ROW(Tickets!$F$2)+1)/(Tickets!$F$2:$F$161=$B$15),ROWS($A$23:A31))),"")</f>
        <v>8</v>
      </c>
      <c r="G31" s="2"/>
      <c r="H31" s="2"/>
      <c r="I31" s="2"/>
      <c r="J31" s="2"/>
      <c r="K31" s="2"/>
    </row>
    <row r="32" spans="1:11" x14ac:dyDescent="0.2">
      <c r="A32" t="str">
        <f>IFERROR(INDEX(Tickets!$A$2:$A$161,_xlfn.AGGREGATE(15,6,(ROW(Tickets!$F$2:$F$161)-ROW(Tickets!$F$2)+1)/(Tickets!$F$2:$F$161=$B$15),ROWS($A$23:A32))),"")</f>
        <v>WPT-033</v>
      </c>
      <c r="B32" t="str">
        <f>IFERROR(INDEX(Tickets!$C$2:$C$161,_xlfn.AGGREGATE(15,6,(ROW(Tickets!$F$2:$F$161)-ROW(Tickets!$F$2)+1)/(Tickets!$F$2:$F$161=$B$15),ROWS($A$23:A32))),"")</f>
        <v>Task</v>
      </c>
      <c r="C32" t="str">
        <f>IFERROR(INDEX(Tickets!$D$2:$D$161,_xlfn.AGGREGATE(15,6,(ROW(Tickets!$F$2:$F$161)-ROW(Tickets!$F$2)+1)/(Tickets!$F$2:$F$161=$B$15),ROWS($A$23:A32))),"")</f>
        <v>Employer Dashboard</v>
      </c>
      <c r="D32" t="str">
        <f>IFERROR(INDEX(Tickets!$E$2:$E$161,_xlfn.AGGREGATE(15,6,(ROW(Tickets!$F$2:$F$161)-ROW(Tickets!$F$2)+1)/(Tickets!$F$2:$F$161=$B$15),ROWS($A$23:A32))),"")</f>
        <v>Show total jobs posted</v>
      </c>
      <c r="E32" t="str">
        <f>IFERROR(INDEX(Tickets!$G$2:$G$161,_xlfn.AGGREGATE(15,6,(ROW(Tickets!$F$2:$F$161)-ROW(Tickets!$F$2)+1)/(Tickets!$F$2:$F$161=$B$15),ROWS($A$23:A32))),"")</f>
        <v>Backlog</v>
      </c>
      <c r="F32">
        <f>IFERROR(INDEX(Tickets!$H$2:$H$161,_xlfn.AGGREGATE(15,6,(ROW(Tickets!$F$2:$F$161)-ROW(Tickets!$F$2)+1)/(Tickets!$F$2:$F$161=$B$15),ROWS($A$23:A32))),"")</f>
        <v>3</v>
      </c>
      <c r="G32" s="2"/>
      <c r="H32" s="2"/>
      <c r="I32" s="2"/>
      <c r="J32" s="2"/>
      <c r="K32" s="2"/>
    </row>
    <row r="33" spans="1:11" x14ac:dyDescent="0.2">
      <c r="A33" t="str">
        <f>IFERROR(INDEX(Tickets!$A$2:$A$161,_xlfn.AGGREGATE(15,6,(ROW(Tickets!$F$2:$F$161)-ROW(Tickets!$F$2)+1)/(Tickets!$F$2:$F$161=$B$15),ROWS($A$23:A33))),"")</f>
        <v>WPT-034</v>
      </c>
      <c r="B33" t="str">
        <f>IFERROR(INDEX(Tickets!$C$2:$C$161,_xlfn.AGGREGATE(15,6,(ROW(Tickets!$F$2:$F$161)-ROW(Tickets!$F$2)+1)/(Tickets!$F$2:$F$161=$B$15),ROWS($A$23:A33))),"")</f>
        <v>Task</v>
      </c>
      <c r="C33" t="str">
        <f>IFERROR(INDEX(Tickets!$D$2:$D$161,_xlfn.AGGREGATE(15,6,(ROW(Tickets!$F$2:$F$161)-ROW(Tickets!$F$2)+1)/(Tickets!$F$2:$F$161=$B$15),ROWS($A$23:A33))),"")</f>
        <v>Employer Dashboard</v>
      </c>
      <c r="D33" t="str">
        <f>IFERROR(INDEX(Tickets!$E$2:$E$161,_xlfn.AGGREGATE(15,6,(ROW(Tickets!$F$2:$F$161)-ROW(Tickets!$F$2)+1)/(Tickets!$F$2:$F$161=$B$15),ROWS($A$23:A33))),"")</f>
        <v>Show new applications count</v>
      </c>
      <c r="E33" t="str">
        <f>IFERROR(INDEX(Tickets!$G$2:$G$161,_xlfn.AGGREGATE(15,6,(ROW(Tickets!$F$2:$F$161)-ROW(Tickets!$F$2)+1)/(Tickets!$F$2:$F$161=$B$15),ROWS($A$23:A33))),"")</f>
        <v>Backlog</v>
      </c>
      <c r="F33">
        <f>IFERROR(INDEX(Tickets!$H$2:$H$161,_xlfn.AGGREGATE(15,6,(ROW(Tickets!$F$2:$F$161)-ROW(Tickets!$F$2)+1)/(Tickets!$F$2:$F$161=$B$15),ROWS($A$23:A33))),"")</f>
        <v>3</v>
      </c>
      <c r="G33" s="2"/>
      <c r="H33" s="2"/>
      <c r="I33" s="2"/>
      <c r="J33" s="2"/>
      <c r="K33" s="2"/>
    </row>
    <row r="34" spans="1:11" x14ac:dyDescent="0.2">
      <c r="A34" t="str">
        <f>IFERROR(INDEX(Tickets!$A$2:$A$161,_xlfn.AGGREGATE(15,6,(ROW(Tickets!$F$2:$F$161)-ROW(Tickets!$F$2)+1)/(Tickets!$F$2:$F$161=$B$15),ROWS($A$23:A34))),"")</f>
        <v>WPT-035</v>
      </c>
      <c r="B34" t="str">
        <f>IFERROR(INDEX(Tickets!$C$2:$C$161,_xlfn.AGGREGATE(15,6,(ROW(Tickets!$F$2:$F$161)-ROW(Tickets!$F$2)+1)/(Tickets!$F$2:$F$161=$B$15),ROWS($A$23:A34))),"")</f>
        <v>Task</v>
      </c>
      <c r="C34" t="str">
        <f>IFERROR(INDEX(Tickets!$D$2:$D$161,_xlfn.AGGREGATE(15,6,(ROW(Tickets!$F$2:$F$161)-ROW(Tickets!$F$2)+1)/(Tickets!$F$2:$F$161=$B$15),ROWS($A$23:A34))),"")</f>
        <v>Employer Dashboard</v>
      </c>
      <c r="D34" t="str">
        <f>IFERROR(INDEX(Tickets!$E$2:$E$161,_xlfn.AGGREGATE(15,6,(ROW(Tickets!$F$2:$F$161)-ROW(Tickets!$F$2)+1)/(Tickets!$F$2:$F$161=$B$15),ROWS($A$23:A34))),"")</f>
        <v>Show in progress Employees count</v>
      </c>
      <c r="E34" t="str">
        <f>IFERROR(INDEX(Tickets!$G$2:$G$161,_xlfn.AGGREGATE(15,6,(ROW(Tickets!$F$2:$F$161)-ROW(Tickets!$F$2)+1)/(Tickets!$F$2:$F$161=$B$15),ROWS($A$23:A34))),"")</f>
        <v>Backlog</v>
      </c>
      <c r="F34">
        <f>IFERROR(INDEX(Tickets!$H$2:$H$161,_xlfn.AGGREGATE(15,6,(ROW(Tickets!$F$2:$F$161)-ROW(Tickets!$F$2)+1)/(Tickets!$F$2:$F$161=$B$15),ROWS($A$23:A34))),"")</f>
        <v>3</v>
      </c>
      <c r="G34" s="2"/>
      <c r="H34" s="2"/>
      <c r="I34" s="2"/>
      <c r="J34" s="2"/>
      <c r="K34" s="2"/>
    </row>
    <row r="35" spans="1:11" x14ac:dyDescent="0.2">
      <c r="A35" t="str">
        <f>IFERROR(INDEX(Tickets!$A$2:$A$161,_xlfn.AGGREGATE(15,6,(ROW(Tickets!$F$2:$F$161)-ROW(Tickets!$F$2)+1)/(Tickets!$F$2:$F$161=$B$15),ROWS($A$23:A35))),"")</f>
        <v>WPT-036</v>
      </c>
      <c r="B35" t="str">
        <f>IFERROR(INDEX(Tickets!$C$2:$C$161,_xlfn.AGGREGATE(15,6,(ROW(Tickets!$F$2:$F$161)-ROW(Tickets!$F$2)+1)/(Tickets!$F$2:$F$161=$B$15),ROWS($A$23:A35))),"")</f>
        <v>Task</v>
      </c>
      <c r="C35" t="str">
        <f>IFERROR(INDEX(Tickets!$D$2:$D$161,_xlfn.AGGREGATE(15,6,(ROW(Tickets!$F$2:$F$161)-ROW(Tickets!$F$2)+1)/(Tickets!$F$2:$F$161=$B$15),ROWS($A$23:A35))),"")</f>
        <v>Employer Dashboard</v>
      </c>
      <c r="D35" t="str">
        <f>IFERROR(INDEX(Tickets!$E$2:$E$161,_xlfn.AGGREGATE(15,6,(ROW(Tickets!$F$2:$F$161)-ROW(Tickets!$F$2)+1)/(Tickets!$F$2:$F$161=$B$15),ROWS($A$23:A35))),"")</f>
        <v>Show hired Employees count</v>
      </c>
      <c r="E35" t="str">
        <f>IFERROR(INDEX(Tickets!$G$2:$G$161,_xlfn.AGGREGATE(15,6,(ROW(Tickets!$F$2:$F$161)-ROW(Tickets!$F$2)+1)/(Tickets!$F$2:$F$161=$B$15),ROWS($A$23:A35))),"")</f>
        <v>Backlog</v>
      </c>
      <c r="F35">
        <f>IFERROR(INDEX(Tickets!$H$2:$H$161,_xlfn.AGGREGATE(15,6,(ROW(Tickets!$F$2:$F$161)-ROW(Tickets!$F$2)+1)/(Tickets!$F$2:$F$161=$B$15),ROWS($A$23:A35))),"")</f>
        <v>3</v>
      </c>
      <c r="G35" s="2"/>
      <c r="H35" s="2"/>
      <c r="I35" s="2"/>
      <c r="J35" s="2"/>
      <c r="K35" s="2"/>
    </row>
    <row r="36" spans="1:11" x14ac:dyDescent="0.2">
      <c r="A36" t="str">
        <f>IFERROR(INDEX(Tickets!$A$2:$A$161,_xlfn.AGGREGATE(15,6,(ROW(Tickets!$F$2:$F$161)-ROW(Tickets!$F$2)+1)/(Tickets!$F$2:$F$161=$B$15),ROWS($A$23:A36))),"")</f>
        <v>WPT-037</v>
      </c>
      <c r="B36" t="str">
        <f>IFERROR(INDEX(Tickets!$C$2:$C$161,_xlfn.AGGREGATE(15,6,(ROW(Tickets!$F$2:$F$161)-ROW(Tickets!$F$2)+1)/(Tickets!$F$2:$F$161=$B$15),ROWS($A$23:A36))),"")</f>
        <v>Task</v>
      </c>
      <c r="C36" t="str">
        <f>IFERROR(INDEX(Tickets!$D$2:$D$161,_xlfn.AGGREGATE(15,6,(ROW(Tickets!$F$2:$F$161)-ROW(Tickets!$F$2)+1)/(Tickets!$F$2:$F$161=$B$15),ROWS($A$23:A36))),"")</f>
        <v>Employer Dashboard</v>
      </c>
      <c r="D36" t="str">
        <f>IFERROR(INDEX(Tickets!$E$2:$E$161,_xlfn.AGGREGATE(15,6,(ROW(Tickets!$F$2:$F$161)-ROW(Tickets!$F$2)+1)/(Tickets!$F$2:$F$161=$B$15),ROWS($A$23:A36))),"")</f>
        <v>Show event summary cards</v>
      </c>
      <c r="E36" t="str">
        <f>IFERROR(INDEX(Tickets!$G$2:$G$161,_xlfn.AGGREGATE(15,6,(ROW(Tickets!$F$2:$F$161)-ROW(Tickets!$F$2)+1)/(Tickets!$F$2:$F$161=$B$15),ROWS($A$23:A36))),"")</f>
        <v>Backlog</v>
      </c>
      <c r="F36">
        <f>IFERROR(INDEX(Tickets!$H$2:$H$161,_xlfn.AGGREGATE(15,6,(ROW(Tickets!$F$2:$F$161)-ROW(Tickets!$F$2)+1)/(Tickets!$F$2:$F$161=$B$15),ROWS($A$23:A36))),"")</f>
        <v>3</v>
      </c>
      <c r="G36" s="2"/>
      <c r="H36" s="2"/>
      <c r="I36" s="2"/>
      <c r="J36" s="2"/>
      <c r="K36" s="2"/>
    </row>
    <row r="37" spans="1:11" x14ac:dyDescent="0.2">
      <c r="A37" t="str">
        <f>IFERROR(INDEX(Tickets!$A$2:$A$161,_xlfn.AGGREGATE(15,6,(ROW(Tickets!$F$2:$F$161)-ROW(Tickets!$F$2)+1)/(Tickets!$F$2:$F$161=$B$15),ROWS($A$23:A37))),"")</f>
        <v>WPT-038</v>
      </c>
      <c r="B37" t="str">
        <f>IFERROR(INDEX(Tickets!$C$2:$C$161,_xlfn.AGGREGATE(15,6,(ROW(Tickets!$F$2:$F$161)-ROW(Tickets!$F$2)+1)/(Tickets!$F$2:$F$161=$B$15),ROWS($A$23:A37))),"")</f>
        <v>Epic</v>
      </c>
      <c r="C37" t="str">
        <f>IFERROR(INDEX(Tickets!$D$2:$D$161,_xlfn.AGGREGATE(15,6,(ROW(Tickets!$F$2:$F$161)-ROW(Tickets!$F$2)+1)/(Tickets!$F$2:$F$161=$B$15),ROWS($A$23:A37))),"")</f>
        <v>Employer Job Management</v>
      </c>
      <c r="D37" t="str">
        <f>IFERROR(INDEX(Tickets!$E$2:$E$161,_xlfn.AGGREGATE(15,6,(ROW(Tickets!$F$2:$F$161)-ROW(Tickets!$F$2)+1)/(Tickets!$F$2:$F$161=$B$15),ROWS($A$23:A37))),"")</f>
        <v>Employer Job Dashboard and Job Postings</v>
      </c>
      <c r="E37" t="str">
        <f>IFERROR(INDEX(Tickets!$G$2:$G$161,_xlfn.AGGREGATE(15,6,(ROW(Tickets!$F$2:$F$161)-ROW(Tickets!$F$2)+1)/(Tickets!$F$2:$F$161=$B$15),ROWS($A$23:A37))),"")</f>
        <v>Backlog</v>
      </c>
      <c r="F37">
        <f>IFERROR(INDEX(Tickets!$H$2:$H$161,_xlfn.AGGREGATE(15,6,(ROW(Tickets!$F$2:$F$161)-ROW(Tickets!$F$2)+1)/(Tickets!$F$2:$F$161=$B$15),ROWS($A$23:A37))),"")</f>
        <v>0</v>
      </c>
      <c r="G37" s="2"/>
      <c r="H37" s="2"/>
      <c r="I37" s="2"/>
      <c r="J37" s="2"/>
      <c r="K37" s="2"/>
    </row>
    <row r="38" spans="1:11" x14ac:dyDescent="0.2">
      <c r="A38" t="str">
        <f>IFERROR(INDEX(Tickets!$A$2:$A$161,_xlfn.AGGREGATE(15,6,(ROW(Tickets!$F$2:$F$161)-ROW(Tickets!$F$2)+1)/(Tickets!$F$2:$F$161=$B$15),ROWS($A$23:A38))),"")</f>
        <v>WPT-039</v>
      </c>
      <c r="B38" t="str">
        <f>IFERROR(INDEX(Tickets!$C$2:$C$161,_xlfn.AGGREGATE(15,6,(ROW(Tickets!$F$2:$F$161)-ROW(Tickets!$F$2)+1)/(Tickets!$F$2:$F$161=$B$15),ROWS($A$23:A38))),"")</f>
        <v>Story</v>
      </c>
      <c r="C38" t="str">
        <f>IFERROR(INDEX(Tickets!$D$2:$D$161,_xlfn.AGGREGATE(15,6,(ROW(Tickets!$F$2:$F$161)-ROW(Tickets!$F$2)+1)/(Tickets!$F$2:$F$161=$B$15),ROWS($A$23:A38))),"")</f>
        <v>Employer Job Management</v>
      </c>
      <c r="D38" t="str">
        <f>IFERROR(INDEX(Tickets!$E$2:$E$161,_xlfn.AGGREGATE(15,6,(ROW(Tickets!$F$2:$F$161)-ROW(Tickets!$F$2)+1)/(Tickets!$F$2:$F$161=$B$15),ROWS($A$23:A38))),"")</f>
        <v>View all job postings</v>
      </c>
      <c r="E38" t="str">
        <f>IFERROR(INDEX(Tickets!$G$2:$G$161,_xlfn.AGGREGATE(15,6,(ROW(Tickets!$F$2:$F$161)-ROW(Tickets!$F$2)+1)/(Tickets!$F$2:$F$161=$B$15),ROWS($A$23:A38))),"")</f>
        <v>Backlog</v>
      </c>
      <c r="F38">
        <f>IFERROR(INDEX(Tickets!$H$2:$H$161,_xlfn.AGGREGATE(15,6,(ROW(Tickets!$F$2:$F$161)-ROW(Tickets!$F$2)+1)/(Tickets!$F$2:$F$161=$B$15),ROWS($A$23:A38))),"")</f>
        <v>8</v>
      </c>
      <c r="G38" s="2"/>
      <c r="H38" s="2"/>
      <c r="I38" s="2"/>
      <c r="J38" s="2"/>
      <c r="K38" s="2"/>
    </row>
    <row r="39" spans="1:11" x14ac:dyDescent="0.2">
      <c r="A39" t="str">
        <f>IFERROR(INDEX(Tickets!$A$2:$A$161,_xlfn.AGGREGATE(15,6,(ROW(Tickets!$F$2:$F$161)-ROW(Tickets!$F$2)+1)/(Tickets!$F$2:$F$161=$B$15),ROWS($A$23:A39))),"")</f>
        <v>WPT-040</v>
      </c>
      <c r="B39" t="str">
        <f>IFERROR(INDEX(Tickets!$C$2:$C$161,_xlfn.AGGREGATE(15,6,(ROW(Tickets!$F$2:$F$161)-ROW(Tickets!$F$2)+1)/(Tickets!$F$2:$F$161=$B$15),ROWS($A$23:A39))),"")</f>
        <v>Task</v>
      </c>
      <c r="C39" t="str">
        <f>IFERROR(INDEX(Tickets!$D$2:$D$161,_xlfn.AGGREGATE(15,6,(ROW(Tickets!$F$2:$F$161)-ROW(Tickets!$F$2)+1)/(Tickets!$F$2:$F$161=$B$15),ROWS($A$23:A39))),"")</f>
        <v>Employer Job Management</v>
      </c>
      <c r="D39" t="str">
        <f>IFERROR(INDEX(Tickets!$E$2:$E$161,_xlfn.AGGREGATE(15,6,(ROW(Tickets!$F$2:$F$161)-ROW(Tickets!$F$2)+1)/(Tickets!$F$2:$F$161=$B$15),ROWS($A$23:A39))),"")</f>
        <v>Create job postings list page</v>
      </c>
      <c r="E39" t="str">
        <f>IFERROR(INDEX(Tickets!$G$2:$G$161,_xlfn.AGGREGATE(15,6,(ROW(Tickets!$F$2:$F$161)-ROW(Tickets!$F$2)+1)/(Tickets!$F$2:$F$161=$B$15),ROWS($A$23:A39))),"")</f>
        <v>Backlog</v>
      </c>
      <c r="F39">
        <f>IFERROR(INDEX(Tickets!$H$2:$H$161,_xlfn.AGGREGATE(15,6,(ROW(Tickets!$F$2:$F$161)-ROW(Tickets!$F$2)+1)/(Tickets!$F$2:$F$161=$B$15),ROWS($A$23:A39))),"")</f>
        <v>5</v>
      </c>
      <c r="G39" s="2"/>
      <c r="H39" s="2"/>
      <c r="I39" s="2"/>
      <c r="J39" s="2"/>
      <c r="K39" s="2"/>
    </row>
    <row r="40" spans="1:11" x14ac:dyDescent="0.2">
      <c r="A40" t="str">
        <f>IFERROR(INDEX(Tickets!$A$2:$A$161,_xlfn.AGGREGATE(15,6,(ROW(Tickets!$F$2:$F$161)-ROW(Tickets!$F$2)+1)/(Tickets!$F$2:$F$161=$B$15),ROWS($A$23:A40))),"")</f>
        <v>WPT-041</v>
      </c>
      <c r="B40" t="str">
        <f>IFERROR(INDEX(Tickets!$C$2:$C$161,_xlfn.AGGREGATE(15,6,(ROW(Tickets!$F$2:$F$161)-ROW(Tickets!$F$2)+1)/(Tickets!$F$2:$F$161=$B$15),ROWS($A$23:A40))),"")</f>
        <v>Task</v>
      </c>
      <c r="C40" t="str">
        <f>IFERROR(INDEX(Tickets!$D$2:$D$161,_xlfn.AGGREGATE(15,6,(ROW(Tickets!$F$2:$F$161)-ROW(Tickets!$F$2)+1)/(Tickets!$F$2:$F$161=$B$15),ROWS($A$23:A40))),"")</f>
        <v>Employer Job Management</v>
      </c>
      <c r="D40" t="str">
        <f>IFERROR(INDEX(Tickets!$E$2:$E$161,_xlfn.AGGREGATE(15,6,(ROW(Tickets!$F$2:$F$161)-ROW(Tickets!$F$2)+1)/(Tickets!$F$2:$F$161=$B$15),ROWS($A$23:A40))),"")</f>
        <v>Display job ID and job name</v>
      </c>
      <c r="E40" t="str">
        <f>IFERROR(INDEX(Tickets!$G$2:$G$161,_xlfn.AGGREGATE(15,6,(ROW(Tickets!$F$2:$F$161)-ROW(Tickets!$F$2)+1)/(Tickets!$F$2:$F$161=$B$15),ROWS($A$23:A40))),"")</f>
        <v>Backlog</v>
      </c>
      <c r="F40">
        <f>IFERROR(INDEX(Tickets!$H$2:$H$161,_xlfn.AGGREGATE(15,6,(ROW(Tickets!$F$2:$F$161)-ROW(Tickets!$F$2)+1)/(Tickets!$F$2:$F$161=$B$15),ROWS($A$23:A40))),"")</f>
        <v>3</v>
      </c>
      <c r="G40" s="2"/>
      <c r="H40" s="2"/>
      <c r="I40" s="2"/>
      <c r="J40" s="2"/>
      <c r="K40" s="2"/>
    </row>
    <row r="41" spans="1:11" x14ac:dyDescent="0.2">
      <c r="A41" t="str">
        <f>IFERROR(INDEX(Tickets!$A$2:$A$161,_xlfn.AGGREGATE(15,6,(ROW(Tickets!$F$2:$F$161)-ROW(Tickets!$F$2)+1)/(Tickets!$F$2:$F$161=$B$15),ROWS($A$23:A41))),"")</f>
        <v>WPT-042</v>
      </c>
      <c r="B41" t="str">
        <f>IFERROR(INDEX(Tickets!$C$2:$C$161,_xlfn.AGGREGATE(15,6,(ROW(Tickets!$F$2:$F$161)-ROW(Tickets!$F$2)+1)/(Tickets!$F$2:$F$161=$B$15),ROWS($A$23:A41))),"")</f>
        <v>Task</v>
      </c>
      <c r="C41" t="str">
        <f>IFERROR(INDEX(Tickets!$D$2:$D$161,_xlfn.AGGREGATE(15,6,(ROW(Tickets!$F$2:$F$161)-ROW(Tickets!$F$2)+1)/(Tickets!$F$2:$F$161=$B$15),ROWS($A$23:A41))),"")</f>
        <v>Employer Job Management</v>
      </c>
      <c r="D41" t="str">
        <f>IFERROR(INDEX(Tickets!$E$2:$E$161,_xlfn.AGGREGATE(15,6,(ROW(Tickets!$F$2:$F$161)-ROW(Tickets!$F$2)+1)/(Tickets!$F$2:$F$161=$B$15),ROWS($A$23:A41))),"")</f>
        <v>Display Employees applied count</v>
      </c>
      <c r="E41" t="str">
        <f>IFERROR(INDEX(Tickets!$G$2:$G$161,_xlfn.AGGREGATE(15,6,(ROW(Tickets!$F$2:$F$161)-ROW(Tickets!$F$2)+1)/(Tickets!$F$2:$F$161=$B$15),ROWS($A$23:A41))),"")</f>
        <v>Backlog</v>
      </c>
      <c r="F41">
        <f>IFERROR(INDEX(Tickets!$H$2:$H$161,_xlfn.AGGREGATE(15,6,(ROW(Tickets!$F$2:$F$161)-ROW(Tickets!$F$2)+1)/(Tickets!$F$2:$F$161=$B$15),ROWS($A$23:A41))),"")</f>
        <v>3</v>
      </c>
      <c r="G41" s="2"/>
      <c r="H41" s="2"/>
      <c r="I41" s="2"/>
      <c r="J41" s="2"/>
      <c r="K41" s="2"/>
    </row>
    <row r="42" spans="1:11" x14ac:dyDescent="0.2">
      <c r="A42" t="str">
        <f>IFERROR(INDEX(Tickets!$A$2:$A$161,_xlfn.AGGREGATE(15,6,(ROW(Tickets!$F$2:$F$161)-ROW(Tickets!$F$2)+1)/(Tickets!$F$2:$F$161=$B$15),ROWS($A$23:A42))),"")</f>
        <v>WPT-043</v>
      </c>
      <c r="B42" t="str">
        <f>IFERROR(INDEX(Tickets!$C$2:$C$161,_xlfn.AGGREGATE(15,6,(ROW(Tickets!$F$2:$F$161)-ROW(Tickets!$F$2)+1)/(Tickets!$F$2:$F$161=$B$15),ROWS($A$23:A42))),"")</f>
        <v>Task</v>
      </c>
      <c r="C42" t="str">
        <f>IFERROR(INDEX(Tickets!$D$2:$D$161,_xlfn.AGGREGATE(15,6,(ROW(Tickets!$F$2:$F$161)-ROW(Tickets!$F$2)+1)/(Tickets!$F$2:$F$161=$B$15),ROWS($A$23:A42))),"")</f>
        <v>Employer Job Management</v>
      </c>
      <c r="D42" t="str">
        <f>IFERROR(INDEX(Tickets!$E$2:$E$161,_xlfn.AGGREGATE(15,6,(ROW(Tickets!$F$2:$F$161)-ROW(Tickets!$F$2)+1)/(Tickets!$F$2:$F$161=$B$15),ROWS($A$23:A42))),"")</f>
        <v>Create clickable job ID navigation</v>
      </c>
      <c r="E42" t="str">
        <f>IFERROR(INDEX(Tickets!$G$2:$G$161,_xlfn.AGGREGATE(15,6,(ROW(Tickets!$F$2:$F$161)-ROW(Tickets!$F$2)+1)/(Tickets!$F$2:$F$161=$B$15),ROWS($A$23:A42))),"")</f>
        <v>Backlog</v>
      </c>
      <c r="F42">
        <f>IFERROR(INDEX(Tickets!$H$2:$H$161,_xlfn.AGGREGATE(15,6,(ROW(Tickets!$F$2:$F$161)-ROW(Tickets!$F$2)+1)/(Tickets!$F$2:$F$161=$B$15),ROWS($A$23:A42))),"")</f>
        <v>3</v>
      </c>
      <c r="G42" s="2"/>
      <c r="H42" s="2"/>
      <c r="I42" s="2"/>
      <c r="J42" s="2"/>
      <c r="K42" s="2"/>
    </row>
    <row r="43" spans="1:11" x14ac:dyDescent="0.2">
      <c r="A43" t="str">
        <f>IFERROR(INDEX(Tickets!$A$2:$A$161,_xlfn.AGGREGATE(15,6,(ROW(Tickets!$F$2:$F$161)-ROW(Tickets!$F$2)+1)/(Tickets!$F$2:$F$161=$B$15),ROWS($A$23:A43))),"")</f>
        <v>WPT-044</v>
      </c>
      <c r="B43" t="str">
        <f>IFERROR(INDEX(Tickets!$C$2:$C$161,_xlfn.AGGREGATE(15,6,(ROW(Tickets!$F$2:$F$161)-ROW(Tickets!$F$2)+1)/(Tickets!$F$2:$F$161=$B$15),ROWS($A$23:A43))),"")</f>
        <v>Story</v>
      </c>
      <c r="C43" t="str">
        <f>IFERROR(INDEX(Tickets!$D$2:$D$161,_xlfn.AGGREGATE(15,6,(ROW(Tickets!$F$2:$F$161)-ROW(Tickets!$F$2)+1)/(Tickets!$F$2:$F$161=$B$15),ROWS($A$23:A43))),"")</f>
        <v>Employer Job Management</v>
      </c>
      <c r="D43" t="str">
        <f>IFERROR(INDEX(Tickets!$E$2:$E$161,_xlfn.AGGREGATE(15,6,(ROW(Tickets!$F$2:$F$161)-ROW(Tickets!$F$2)+1)/(Tickets!$F$2:$F$161=$B$15),ROWS($A$23:A43))),"")</f>
        <v>Create new job posting</v>
      </c>
      <c r="E43" t="str">
        <f>IFERROR(INDEX(Tickets!$G$2:$G$161,_xlfn.AGGREGATE(15,6,(ROW(Tickets!$F$2:$F$161)-ROW(Tickets!$F$2)+1)/(Tickets!$F$2:$F$161=$B$15),ROWS($A$23:A43))),"")</f>
        <v>Backlog</v>
      </c>
      <c r="F43">
        <f>IFERROR(INDEX(Tickets!$H$2:$H$161,_xlfn.AGGREGATE(15,6,(ROW(Tickets!$F$2:$F$161)-ROW(Tickets!$F$2)+1)/(Tickets!$F$2:$F$161=$B$15),ROWS($A$23:A43))),"")</f>
        <v>8</v>
      </c>
      <c r="G43" s="2"/>
      <c r="H43" s="2"/>
      <c r="I43" s="2"/>
      <c r="J43" s="2"/>
      <c r="K43" s="2"/>
    </row>
    <row r="44" spans="1:11" x14ac:dyDescent="0.2">
      <c r="A44" t="str">
        <f>IFERROR(INDEX(Tickets!$A$2:$A$161,_xlfn.AGGREGATE(15,6,(ROW(Tickets!$F$2:$F$161)-ROW(Tickets!$F$2)+1)/(Tickets!$F$2:$F$161=$B$15),ROWS($A$23:A44))),"")</f>
        <v>WPT-045</v>
      </c>
      <c r="B44" t="str">
        <f>IFERROR(INDEX(Tickets!$C$2:$C$161,_xlfn.AGGREGATE(15,6,(ROW(Tickets!$F$2:$F$161)-ROW(Tickets!$F$2)+1)/(Tickets!$F$2:$F$161=$B$15),ROWS($A$23:A44))),"")</f>
        <v>Task</v>
      </c>
      <c r="C44" t="str">
        <f>IFERROR(INDEX(Tickets!$D$2:$D$161,_xlfn.AGGREGATE(15,6,(ROW(Tickets!$F$2:$F$161)-ROW(Tickets!$F$2)+1)/(Tickets!$F$2:$F$161=$B$15),ROWS($A$23:A44))),"")</f>
        <v>Employer Job Management</v>
      </c>
      <c r="D44" t="str">
        <f>IFERROR(INDEX(Tickets!$E$2:$E$161,_xlfn.AGGREGATE(15,6,(ROW(Tickets!$F$2:$F$161)-ROW(Tickets!$F$2)+1)/(Tickets!$F$2:$F$161=$B$15),ROWS($A$23:A44))),"")</f>
        <v>Create job posting form UI</v>
      </c>
      <c r="E44" t="str">
        <f>IFERROR(INDEX(Tickets!$G$2:$G$161,_xlfn.AGGREGATE(15,6,(ROW(Tickets!$F$2:$F$161)-ROW(Tickets!$F$2)+1)/(Tickets!$F$2:$F$161=$B$15),ROWS($A$23:A44))),"")</f>
        <v>Backlog</v>
      </c>
      <c r="F44">
        <f>IFERROR(INDEX(Tickets!$H$2:$H$161,_xlfn.AGGREGATE(15,6,(ROW(Tickets!$F$2:$F$161)-ROW(Tickets!$F$2)+1)/(Tickets!$F$2:$F$161=$B$15),ROWS($A$23:A44))),"")</f>
        <v>5</v>
      </c>
      <c r="G44" s="2"/>
      <c r="H44" s="2"/>
      <c r="I44" s="2"/>
      <c r="J44" s="2"/>
      <c r="K44" s="2"/>
    </row>
    <row r="45" spans="1:11" x14ac:dyDescent="0.2">
      <c r="A45" t="str">
        <f>IFERROR(INDEX(Tickets!$A$2:$A$161,_xlfn.AGGREGATE(15,6,(ROW(Tickets!$F$2:$F$161)-ROW(Tickets!$F$2)+1)/(Tickets!$F$2:$F$161=$B$15),ROWS($A$23:A45))),"")</f>
        <v>WPT-046</v>
      </c>
      <c r="B45" t="str">
        <f>IFERROR(INDEX(Tickets!$C$2:$C$161,_xlfn.AGGREGATE(15,6,(ROW(Tickets!$F$2:$F$161)-ROW(Tickets!$F$2)+1)/(Tickets!$F$2:$F$161=$B$15),ROWS($A$23:A45))),"")</f>
        <v>Task</v>
      </c>
      <c r="C45" t="str">
        <f>IFERROR(INDEX(Tickets!$D$2:$D$161,_xlfn.AGGREGATE(15,6,(ROW(Tickets!$F$2:$F$161)-ROW(Tickets!$F$2)+1)/(Tickets!$F$2:$F$161=$B$15),ROWS($A$23:A45))),"")</f>
        <v>Employer Job Management</v>
      </c>
      <c r="D45" t="str">
        <f>IFERROR(INDEX(Tickets!$E$2:$E$161,_xlfn.AGGREGATE(15,6,(ROW(Tickets!$F$2:$F$161)-ROW(Tickets!$F$2)+1)/(Tickets!$F$2:$F$161=$B$15),ROWS($A$23:A45))),"")</f>
        <v>Create save job posting API</v>
      </c>
      <c r="E45" t="str">
        <f>IFERROR(INDEX(Tickets!$G$2:$G$161,_xlfn.AGGREGATE(15,6,(ROW(Tickets!$F$2:$F$161)-ROW(Tickets!$F$2)+1)/(Tickets!$F$2:$F$161=$B$15),ROWS($A$23:A45))),"")</f>
        <v>Backlog</v>
      </c>
      <c r="F45">
        <f>IFERROR(INDEX(Tickets!$H$2:$H$161,_xlfn.AGGREGATE(15,6,(ROW(Tickets!$F$2:$F$161)-ROW(Tickets!$F$2)+1)/(Tickets!$F$2:$F$161=$B$15),ROWS($A$23:A45))),"")</f>
        <v>5</v>
      </c>
      <c r="G45" s="2"/>
      <c r="H45" s="2"/>
      <c r="I45" s="2"/>
      <c r="J45" s="2"/>
      <c r="K45" s="2"/>
    </row>
    <row r="46" spans="1:11" x14ac:dyDescent="0.2">
      <c r="A46" t="str">
        <f>IFERROR(INDEX(Tickets!$A$2:$A$161,_xlfn.AGGREGATE(15,6,(ROW(Tickets!$F$2:$F$161)-ROW(Tickets!$F$2)+1)/(Tickets!$F$2:$F$161=$B$15),ROWS($A$23:A46))),"")</f>
        <v>WPT-047</v>
      </c>
      <c r="B46" t="str">
        <f>IFERROR(INDEX(Tickets!$C$2:$C$161,_xlfn.AGGREGATE(15,6,(ROW(Tickets!$F$2:$F$161)-ROW(Tickets!$F$2)+1)/(Tickets!$F$2:$F$161=$B$15),ROWS($A$23:A46))),"")</f>
        <v>Task</v>
      </c>
      <c r="C46" t="str">
        <f>IFERROR(INDEX(Tickets!$D$2:$D$161,_xlfn.AGGREGATE(15,6,(ROW(Tickets!$F$2:$F$161)-ROW(Tickets!$F$2)+1)/(Tickets!$F$2:$F$161=$B$15),ROWS($A$23:A46))),"")</f>
        <v>Employer Job Management</v>
      </c>
      <c r="D46" t="str">
        <f>IFERROR(INDEX(Tickets!$E$2:$E$161,_xlfn.AGGREGATE(15,6,(ROW(Tickets!$F$2:$F$161)-ROW(Tickets!$F$2)+1)/(Tickets!$F$2:$F$161=$B$15),ROWS($A$23:A46))),"")</f>
        <v>Validate job posting fields</v>
      </c>
      <c r="E46" t="str">
        <f>IFERROR(INDEX(Tickets!$G$2:$G$161,_xlfn.AGGREGATE(15,6,(ROW(Tickets!$F$2:$F$161)-ROW(Tickets!$F$2)+1)/(Tickets!$F$2:$F$161=$B$15),ROWS($A$23:A46))),"")</f>
        <v>Backlog</v>
      </c>
      <c r="F46">
        <f>IFERROR(INDEX(Tickets!$H$2:$H$161,_xlfn.AGGREGATE(15,6,(ROW(Tickets!$F$2:$F$161)-ROW(Tickets!$F$2)+1)/(Tickets!$F$2:$F$161=$B$15),ROWS($A$23:A46))),"")</f>
        <v>3</v>
      </c>
      <c r="G46" s="2"/>
      <c r="H46" s="2"/>
      <c r="I46" s="2"/>
      <c r="J46" s="2"/>
      <c r="K46" s="2"/>
    </row>
    <row r="47" spans="1:11" x14ac:dyDescent="0.2">
      <c r="A47" t="str">
        <f>IFERROR(INDEX(Tickets!$A$2:$A$161,_xlfn.AGGREGATE(15,6,(ROW(Tickets!$F$2:$F$161)-ROW(Tickets!$F$2)+1)/(Tickets!$F$2:$F$161=$B$15),ROWS($A$23:A47))),"")</f>
        <v>WPT-048</v>
      </c>
      <c r="B47" t="str">
        <f>IFERROR(INDEX(Tickets!$C$2:$C$161,_xlfn.AGGREGATE(15,6,(ROW(Tickets!$F$2:$F$161)-ROW(Tickets!$F$2)+1)/(Tickets!$F$2:$F$161=$B$15),ROWS($A$23:A47))),"")</f>
        <v>Story</v>
      </c>
      <c r="C47" t="str">
        <f>IFERROR(INDEX(Tickets!$D$2:$D$161,_xlfn.AGGREGATE(15,6,(ROW(Tickets!$F$2:$F$161)-ROW(Tickets!$F$2)+1)/(Tickets!$F$2:$F$161=$B$15),ROWS($A$23:A47))),"")</f>
        <v>Employer Job Management</v>
      </c>
      <c r="D47" t="str">
        <f>IFERROR(INDEX(Tickets!$E$2:$E$161,_xlfn.AGGREGATE(15,6,(ROW(Tickets!$F$2:$F$161)-ROW(Tickets!$F$2)+1)/(Tickets!$F$2:$F$161=$B$15),ROWS($A$23:A47))),"")</f>
        <v>Edit existing job posting</v>
      </c>
      <c r="E47" t="str">
        <f>IFERROR(INDEX(Tickets!$G$2:$G$161,_xlfn.AGGREGATE(15,6,(ROW(Tickets!$F$2:$F$161)-ROW(Tickets!$F$2)+1)/(Tickets!$F$2:$F$161=$B$15),ROWS($A$23:A47))),"")</f>
        <v>Backlog</v>
      </c>
      <c r="F47">
        <f>IFERROR(INDEX(Tickets!$H$2:$H$161,_xlfn.AGGREGATE(15,6,(ROW(Tickets!$F$2:$F$161)-ROW(Tickets!$F$2)+1)/(Tickets!$F$2:$F$161=$B$15),ROWS($A$23:A47))),"")</f>
        <v>5</v>
      </c>
      <c r="G47" s="2"/>
      <c r="H47" s="2"/>
      <c r="I47" s="2"/>
      <c r="J47" s="2"/>
      <c r="K47" s="2"/>
    </row>
    <row r="48" spans="1:11" x14ac:dyDescent="0.2">
      <c r="A48" t="str">
        <f>IFERROR(INDEX(Tickets!$A$2:$A$161,_xlfn.AGGREGATE(15,6,(ROW(Tickets!$F$2:$F$161)-ROW(Tickets!$F$2)+1)/(Tickets!$F$2:$F$161=$B$15),ROWS($A$23:A48))),"")</f>
        <v>WPT-049</v>
      </c>
      <c r="B48" t="str">
        <f>IFERROR(INDEX(Tickets!$C$2:$C$161,_xlfn.AGGREGATE(15,6,(ROW(Tickets!$F$2:$F$161)-ROW(Tickets!$F$2)+1)/(Tickets!$F$2:$F$161=$B$15),ROWS($A$23:A48))),"")</f>
        <v>Task</v>
      </c>
      <c r="C48" t="str">
        <f>IFERROR(INDEX(Tickets!$D$2:$D$161,_xlfn.AGGREGATE(15,6,(ROW(Tickets!$F$2:$F$161)-ROW(Tickets!$F$2)+1)/(Tickets!$F$2:$F$161=$B$15),ROWS($A$23:A48))),"")</f>
        <v>Employer Job Management</v>
      </c>
      <c r="D48" t="str">
        <f>IFERROR(INDEX(Tickets!$E$2:$E$161,_xlfn.AGGREGATE(15,6,(ROW(Tickets!$F$2:$F$161)-ROW(Tickets!$F$2)+1)/(Tickets!$F$2:$F$161=$B$15),ROWS($A$23:A48))),"")</f>
        <v>Create edit job UI</v>
      </c>
      <c r="E48" t="str">
        <f>IFERROR(INDEX(Tickets!$G$2:$G$161,_xlfn.AGGREGATE(15,6,(ROW(Tickets!$F$2:$F$161)-ROW(Tickets!$F$2)+1)/(Tickets!$F$2:$F$161=$B$15),ROWS($A$23:A48))),"")</f>
        <v>Backlog</v>
      </c>
      <c r="F48">
        <f>IFERROR(INDEX(Tickets!$H$2:$H$161,_xlfn.AGGREGATE(15,6,(ROW(Tickets!$F$2:$F$161)-ROW(Tickets!$F$2)+1)/(Tickets!$F$2:$F$161=$B$15),ROWS($A$23:A48))),"")</f>
        <v>3</v>
      </c>
      <c r="G48" s="2"/>
      <c r="H48" s="2"/>
      <c r="I48" s="2"/>
      <c r="J48" s="2"/>
      <c r="K48" s="2"/>
    </row>
    <row r="49" spans="1:11" x14ac:dyDescent="0.2">
      <c r="A49" t="str">
        <f>IFERROR(INDEX(Tickets!$A$2:$A$161,_xlfn.AGGREGATE(15,6,(ROW(Tickets!$F$2:$F$161)-ROW(Tickets!$F$2)+1)/(Tickets!$F$2:$F$161=$B$15),ROWS($A$23:A49))),"")</f>
        <v>WPT-050</v>
      </c>
      <c r="B49" t="str">
        <f>IFERROR(INDEX(Tickets!$C$2:$C$161,_xlfn.AGGREGATE(15,6,(ROW(Tickets!$F$2:$F$161)-ROW(Tickets!$F$2)+1)/(Tickets!$F$2:$F$161=$B$15),ROWS($A$23:A49))),"")</f>
        <v>Task</v>
      </c>
      <c r="C49" t="str">
        <f>IFERROR(INDEX(Tickets!$D$2:$D$161,_xlfn.AGGREGATE(15,6,(ROW(Tickets!$F$2:$F$161)-ROW(Tickets!$F$2)+1)/(Tickets!$F$2:$F$161=$B$15),ROWS($A$23:A49))),"")</f>
        <v>Employer Job Management</v>
      </c>
      <c r="D49" t="str">
        <f>IFERROR(INDEX(Tickets!$E$2:$E$161,_xlfn.AGGREGATE(15,6,(ROW(Tickets!$F$2:$F$161)-ROW(Tickets!$F$2)+1)/(Tickets!$F$2:$F$161=$B$15),ROWS($A$23:A49))),"")</f>
        <v>Create update job API</v>
      </c>
      <c r="E49" t="str">
        <f>IFERROR(INDEX(Tickets!$G$2:$G$161,_xlfn.AGGREGATE(15,6,(ROW(Tickets!$F$2:$F$161)-ROW(Tickets!$F$2)+1)/(Tickets!$F$2:$F$161=$B$15),ROWS($A$23:A49))),"")</f>
        <v>Backlog</v>
      </c>
      <c r="F49">
        <f>IFERROR(INDEX(Tickets!$H$2:$H$161,_xlfn.AGGREGATE(15,6,(ROW(Tickets!$F$2:$F$161)-ROW(Tickets!$F$2)+1)/(Tickets!$F$2:$F$161=$B$15),ROWS($A$23:A49))),"")</f>
        <v>5</v>
      </c>
      <c r="G49" s="2"/>
      <c r="H49" s="2"/>
      <c r="I49" s="2"/>
      <c r="J49" s="2"/>
      <c r="K49" s="2"/>
    </row>
    <row r="50" spans="1:11" x14ac:dyDescent="0.2">
      <c r="A50" t="str">
        <f>IFERROR(INDEX(Tickets!$A$2:$A$161,_xlfn.AGGREGATE(15,6,(ROW(Tickets!$F$2:$F$161)-ROW(Tickets!$F$2)+1)/(Tickets!$F$2:$F$161=$B$15),ROWS($A$23:A50))),"")</f>
        <v>WPT-051</v>
      </c>
      <c r="B50" t="str">
        <f>IFERROR(INDEX(Tickets!$C$2:$C$161,_xlfn.AGGREGATE(15,6,(ROW(Tickets!$F$2:$F$161)-ROW(Tickets!$F$2)+1)/(Tickets!$F$2:$F$161=$B$15),ROWS($A$23:A50))),"")</f>
        <v>Story</v>
      </c>
      <c r="C50" t="str">
        <f>IFERROR(INDEX(Tickets!$D$2:$D$161,_xlfn.AGGREGATE(15,6,(ROW(Tickets!$F$2:$F$161)-ROW(Tickets!$F$2)+1)/(Tickets!$F$2:$F$161=$B$15),ROWS($A$23:A50))),"")</f>
        <v>Employer Job Management</v>
      </c>
      <c r="D50" t="str">
        <f>IFERROR(INDEX(Tickets!$E$2:$E$161,_xlfn.AGGREGATE(15,6,(ROW(Tickets!$F$2:$F$161)-ROW(Tickets!$F$2)+1)/(Tickets!$F$2:$F$161=$B$15),ROWS($A$23:A50))),"")</f>
        <v>Delete job posting</v>
      </c>
      <c r="E50" t="str">
        <f>IFERROR(INDEX(Tickets!$G$2:$G$161,_xlfn.AGGREGATE(15,6,(ROW(Tickets!$F$2:$F$161)-ROW(Tickets!$F$2)+1)/(Tickets!$F$2:$F$161=$B$15),ROWS($A$23:A50))),"")</f>
        <v>Backlog</v>
      </c>
      <c r="F50">
        <f>IFERROR(INDEX(Tickets!$H$2:$H$161,_xlfn.AGGREGATE(15,6,(ROW(Tickets!$F$2:$F$161)-ROW(Tickets!$F$2)+1)/(Tickets!$F$2:$F$161=$B$15),ROWS($A$23:A50))),"")</f>
        <v>5</v>
      </c>
      <c r="G50" s="2"/>
      <c r="H50" s="2"/>
      <c r="I50" s="2"/>
      <c r="J50" s="2"/>
      <c r="K50" s="2"/>
    </row>
    <row r="51" spans="1:11" x14ac:dyDescent="0.2">
      <c r="A51" t="str">
        <f>IFERROR(INDEX(Tickets!$A$2:$A$161,_xlfn.AGGREGATE(15,6,(ROW(Tickets!$F$2:$F$161)-ROW(Tickets!$F$2)+1)/(Tickets!$F$2:$F$161=$B$15),ROWS($A$23:A51))),"")</f>
        <v>WPT-052</v>
      </c>
      <c r="B51" t="str">
        <f>IFERROR(INDEX(Tickets!$C$2:$C$161,_xlfn.AGGREGATE(15,6,(ROW(Tickets!$F$2:$F$161)-ROW(Tickets!$F$2)+1)/(Tickets!$F$2:$F$161=$B$15),ROWS($A$23:A51))),"")</f>
        <v>Task</v>
      </c>
      <c r="C51" t="str">
        <f>IFERROR(INDEX(Tickets!$D$2:$D$161,_xlfn.AGGREGATE(15,6,(ROW(Tickets!$F$2:$F$161)-ROW(Tickets!$F$2)+1)/(Tickets!$F$2:$F$161=$B$15),ROWS($A$23:A51))),"")</f>
        <v>Employer Job Management</v>
      </c>
      <c r="D51" t="str">
        <f>IFERROR(INDEX(Tickets!$E$2:$E$161,_xlfn.AGGREGATE(15,6,(ROW(Tickets!$F$2:$F$161)-ROW(Tickets!$F$2)+1)/(Tickets!$F$2:$F$161=$B$15),ROWS($A$23:A51))),"")</f>
        <v>Create delete confirmation UI</v>
      </c>
      <c r="E51" t="str">
        <f>IFERROR(INDEX(Tickets!$G$2:$G$161,_xlfn.AGGREGATE(15,6,(ROW(Tickets!$F$2:$F$161)-ROW(Tickets!$F$2)+1)/(Tickets!$F$2:$F$161=$B$15),ROWS($A$23:A51))),"")</f>
        <v>Backlog</v>
      </c>
      <c r="F51">
        <f>IFERROR(INDEX(Tickets!$H$2:$H$161,_xlfn.AGGREGATE(15,6,(ROW(Tickets!$F$2:$F$161)-ROW(Tickets!$F$2)+1)/(Tickets!$F$2:$F$161=$B$15),ROWS($A$23:A51))),"")</f>
        <v>2</v>
      </c>
      <c r="G51" s="2"/>
      <c r="H51" s="2"/>
      <c r="I51" s="2"/>
      <c r="J51" s="2"/>
      <c r="K51" s="2"/>
    </row>
    <row r="52" spans="1:11" x14ac:dyDescent="0.2">
      <c r="A52" t="str">
        <f>IFERROR(INDEX(Tickets!$A$2:$A$161,_xlfn.AGGREGATE(15,6,(ROW(Tickets!$F$2:$F$161)-ROW(Tickets!$F$2)+1)/(Tickets!$F$2:$F$161=$B$15),ROWS($A$23:A52))),"")</f>
        <v>WPT-053</v>
      </c>
      <c r="B52" t="str">
        <f>IFERROR(INDEX(Tickets!$C$2:$C$161,_xlfn.AGGREGATE(15,6,(ROW(Tickets!$F$2:$F$161)-ROW(Tickets!$F$2)+1)/(Tickets!$F$2:$F$161=$B$15),ROWS($A$23:A52))),"")</f>
        <v>Task</v>
      </c>
      <c r="C52" t="str">
        <f>IFERROR(INDEX(Tickets!$D$2:$D$161,_xlfn.AGGREGATE(15,6,(ROW(Tickets!$F$2:$F$161)-ROW(Tickets!$F$2)+1)/(Tickets!$F$2:$F$161=$B$15),ROWS($A$23:A52))),"")</f>
        <v>Employer Job Management</v>
      </c>
      <c r="D52" t="str">
        <f>IFERROR(INDEX(Tickets!$E$2:$E$161,_xlfn.AGGREGATE(15,6,(ROW(Tickets!$F$2:$F$161)-ROW(Tickets!$F$2)+1)/(Tickets!$F$2:$F$161=$B$15),ROWS($A$23:A52))),"")</f>
        <v>Create delete job API</v>
      </c>
      <c r="E52" t="str">
        <f>IFERROR(INDEX(Tickets!$G$2:$G$161,_xlfn.AGGREGATE(15,6,(ROW(Tickets!$F$2:$F$161)-ROW(Tickets!$F$2)+1)/(Tickets!$F$2:$F$161=$B$15),ROWS($A$23:A52))),"")</f>
        <v>Backlog</v>
      </c>
      <c r="F52">
        <f>IFERROR(INDEX(Tickets!$H$2:$H$161,_xlfn.AGGREGATE(15,6,(ROW(Tickets!$F$2:$F$161)-ROW(Tickets!$F$2)+1)/(Tickets!$F$2:$F$161=$B$15),ROWS($A$23:A52))),"")</f>
        <v>3</v>
      </c>
      <c r="G52" s="2"/>
      <c r="H52" s="2"/>
      <c r="I52" s="2"/>
      <c r="J52" s="2"/>
      <c r="K52" s="2"/>
    </row>
    <row r="53" spans="1:11" x14ac:dyDescent="0.2">
      <c r="A53" t="str">
        <f>IFERROR(INDEX(Tickets!$A$2:$A$161,_xlfn.AGGREGATE(15,6,(ROW(Tickets!$F$2:$F$161)-ROW(Tickets!$F$2)+1)/(Tickets!$F$2:$F$161=$B$15),ROWS($A$23:A53))),"")</f>
        <v>WPT-054</v>
      </c>
      <c r="B53" t="str">
        <f>IFERROR(INDEX(Tickets!$C$2:$C$161,_xlfn.AGGREGATE(15,6,(ROW(Tickets!$F$2:$F$161)-ROW(Tickets!$F$2)+1)/(Tickets!$F$2:$F$161=$B$15),ROWS($A$23:A53))),"")</f>
        <v>Story</v>
      </c>
      <c r="C53" t="str">
        <f>IFERROR(INDEX(Tickets!$D$2:$D$161,_xlfn.AGGREGATE(15,6,(ROW(Tickets!$F$2:$F$161)-ROW(Tickets!$F$2)+1)/(Tickets!$F$2:$F$161=$B$15),ROWS($A$23:A53))),"")</f>
        <v>Employer Job Management</v>
      </c>
      <c r="D53" t="str">
        <f>IFERROR(INDEX(Tickets!$E$2:$E$161,_xlfn.AGGREGATE(15,6,(ROW(Tickets!$F$2:$F$161)-ROW(Tickets!$F$2)+1)/(Tickets!$F$2:$F$161=$B$15),ROWS($A$23:A53))),"")</f>
        <v>View Employees for a job</v>
      </c>
      <c r="E53" t="str">
        <f>IFERROR(INDEX(Tickets!$G$2:$G$161,_xlfn.AGGREGATE(15,6,(ROW(Tickets!$F$2:$F$161)-ROW(Tickets!$F$2)+1)/(Tickets!$F$2:$F$161=$B$15),ROWS($A$23:A53))),"")</f>
        <v>Backlog</v>
      </c>
      <c r="F53">
        <f>IFERROR(INDEX(Tickets!$H$2:$H$161,_xlfn.AGGREGATE(15,6,(ROW(Tickets!$F$2:$F$161)-ROW(Tickets!$F$2)+1)/(Tickets!$F$2:$F$161=$B$15),ROWS($A$23:A53))),"")</f>
        <v>8</v>
      </c>
      <c r="G53" s="2"/>
      <c r="H53" s="2"/>
      <c r="I53" s="2"/>
      <c r="J53" s="2"/>
      <c r="K53" s="2"/>
    </row>
    <row r="54" spans="1:11" x14ac:dyDescent="0.2">
      <c r="A54" t="str">
        <f>IFERROR(INDEX(Tickets!$A$2:$A$161,_xlfn.AGGREGATE(15,6,(ROW(Tickets!$F$2:$F$161)-ROW(Tickets!$F$2)+1)/(Tickets!$F$2:$F$161=$B$15),ROWS($A$23:A54))),"")</f>
        <v>WPT-055</v>
      </c>
      <c r="B54" t="str">
        <f>IFERROR(INDEX(Tickets!$C$2:$C$161,_xlfn.AGGREGATE(15,6,(ROW(Tickets!$F$2:$F$161)-ROW(Tickets!$F$2)+1)/(Tickets!$F$2:$F$161=$B$15),ROWS($A$23:A54))),"")</f>
        <v>Task</v>
      </c>
      <c r="C54" t="str">
        <f>IFERROR(INDEX(Tickets!$D$2:$D$161,_xlfn.AGGREGATE(15,6,(ROW(Tickets!$F$2:$F$161)-ROW(Tickets!$F$2)+1)/(Tickets!$F$2:$F$161=$B$15),ROWS($A$23:A54))),"")</f>
        <v>Employer Job Management</v>
      </c>
      <c r="D54" t="str">
        <f>IFERROR(INDEX(Tickets!$E$2:$E$161,_xlfn.AGGREGATE(15,6,(ROW(Tickets!$F$2:$F$161)-ROW(Tickets!$F$2)+1)/(Tickets!$F$2:$F$161=$B$15),ROWS($A$23:A54))),"")</f>
        <v>Create Employee applications list</v>
      </c>
      <c r="E54" t="str">
        <f>IFERROR(INDEX(Tickets!$G$2:$G$161,_xlfn.AGGREGATE(15,6,(ROW(Tickets!$F$2:$F$161)-ROW(Tickets!$F$2)+1)/(Tickets!$F$2:$F$161=$B$15),ROWS($A$23:A54))),"")</f>
        <v>Backlog</v>
      </c>
      <c r="F54">
        <f>IFERROR(INDEX(Tickets!$H$2:$H$161,_xlfn.AGGREGATE(15,6,(ROW(Tickets!$F$2:$F$161)-ROW(Tickets!$F$2)+1)/(Tickets!$F$2:$F$161=$B$15),ROWS($A$23:A54))),"")</f>
        <v>5</v>
      </c>
      <c r="G54" s="2"/>
      <c r="H54" s="2"/>
      <c r="I54" s="2"/>
      <c r="J54" s="2"/>
      <c r="K54" s="2"/>
    </row>
    <row r="55" spans="1:11" x14ac:dyDescent="0.2">
      <c r="A55" t="str">
        <f>IFERROR(INDEX(Tickets!$A$2:$A$161,_xlfn.AGGREGATE(15,6,(ROW(Tickets!$F$2:$F$161)-ROW(Tickets!$F$2)+1)/(Tickets!$F$2:$F$161=$B$15),ROWS($A$23:A55))),"")</f>
        <v>WPT-056</v>
      </c>
      <c r="B55" t="str">
        <f>IFERROR(INDEX(Tickets!$C$2:$C$161,_xlfn.AGGREGATE(15,6,(ROW(Tickets!$F$2:$F$161)-ROW(Tickets!$F$2)+1)/(Tickets!$F$2:$F$161=$B$15),ROWS($A$23:A55))),"")</f>
        <v>Task</v>
      </c>
      <c r="C55" t="str">
        <f>IFERROR(INDEX(Tickets!$D$2:$D$161,_xlfn.AGGREGATE(15,6,(ROW(Tickets!$F$2:$F$161)-ROW(Tickets!$F$2)+1)/(Tickets!$F$2:$F$161=$B$15),ROWS($A$23:A55))),"")</f>
        <v>Employer Job Management</v>
      </c>
      <c r="D55" t="str">
        <f>IFERROR(INDEX(Tickets!$E$2:$E$161,_xlfn.AGGREGATE(15,6,(ROW(Tickets!$F$2:$F$161)-ROW(Tickets!$F$2)+1)/(Tickets!$F$2:$F$161=$B$15),ROWS($A$23:A55))),"")</f>
        <v>Display application status</v>
      </c>
      <c r="E55" t="str">
        <f>IFERROR(INDEX(Tickets!$G$2:$G$161,_xlfn.AGGREGATE(15,6,(ROW(Tickets!$F$2:$F$161)-ROW(Tickets!$F$2)+1)/(Tickets!$F$2:$F$161=$B$15),ROWS($A$23:A55))),"")</f>
        <v>Backlog</v>
      </c>
      <c r="F55">
        <f>IFERROR(INDEX(Tickets!$H$2:$H$161,_xlfn.AGGREGATE(15,6,(ROW(Tickets!$F$2:$F$161)-ROW(Tickets!$F$2)+1)/(Tickets!$F$2:$F$161=$B$15),ROWS($A$23:A55))),"")</f>
        <v>3</v>
      </c>
      <c r="G55" s="2"/>
      <c r="H55" s="2"/>
      <c r="I55" s="2"/>
      <c r="J55" s="2"/>
      <c r="K55" s="2"/>
    </row>
    <row r="56" spans="1:11" x14ac:dyDescent="0.2">
      <c r="A56" t="str">
        <f>IFERROR(INDEX(Tickets!$A$2:$A$161,_xlfn.AGGREGATE(15,6,(ROW(Tickets!$F$2:$F$161)-ROW(Tickets!$F$2)+1)/(Tickets!$F$2:$F$161=$B$15),ROWS($A$23:A56))),"")</f>
        <v>WPT-057</v>
      </c>
      <c r="B56" t="str">
        <f>IFERROR(INDEX(Tickets!$C$2:$C$161,_xlfn.AGGREGATE(15,6,(ROW(Tickets!$F$2:$F$161)-ROW(Tickets!$F$2)+1)/(Tickets!$F$2:$F$161=$B$15),ROWS($A$23:A56))),"")</f>
        <v>Task</v>
      </c>
      <c r="C56" t="str">
        <f>IFERROR(INDEX(Tickets!$D$2:$D$161,_xlfn.AGGREGATE(15,6,(ROW(Tickets!$F$2:$F$161)-ROW(Tickets!$F$2)+1)/(Tickets!$F$2:$F$161=$B$15),ROWS($A$23:A56))),"")</f>
        <v>Employer Job Management</v>
      </c>
      <c r="D56" t="str">
        <f>IFERROR(INDEX(Tickets!$E$2:$E$161,_xlfn.AGGREGATE(15,6,(ROW(Tickets!$F$2:$F$161)-ROW(Tickets!$F$2)+1)/(Tickets!$F$2:$F$161=$B$15),ROWS($A$23:A56))),"")</f>
        <v>Create Employee details view</v>
      </c>
      <c r="E56" t="str">
        <f>IFERROR(INDEX(Tickets!$G$2:$G$161,_xlfn.AGGREGATE(15,6,(ROW(Tickets!$F$2:$F$161)-ROW(Tickets!$F$2)+1)/(Tickets!$F$2:$F$161=$B$15),ROWS($A$23:A56))),"")</f>
        <v>Backlog</v>
      </c>
      <c r="F56">
        <f>IFERROR(INDEX(Tickets!$H$2:$H$161,_xlfn.AGGREGATE(15,6,(ROW(Tickets!$F$2:$F$161)-ROW(Tickets!$F$2)+1)/(Tickets!$F$2:$F$161=$B$15),ROWS($A$23:A56))),"")</f>
        <v>5</v>
      </c>
      <c r="G56" s="2"/>
      <c r="H56" s="2"/>
      <c r="I56" s="2"/>
      <c r="J56" s="2"/>
      <c r="K56" s="2"/>
    </row>
    <row r="57" spans="1:11" x14ac:dyDescent="0.2">
      <c r="A57" t="str">
        <f>IFERROR(INDEX(Tickets!$A$2:$A$161,_xlfn.AGGREGATE(15,6,(ROW(Tickets!$F$2:$F$161)-ROW(Tickets!$F$2)+1)/(Tickets!$F$2:$F$161=$B$15),ROWS($A$23:A57))),"")</f>
        <v>WPT-058</v>
      </c>
      <c r="B57" t="str">
        <f>IFERROR(INDEX(Tickets!$C$2:$C$161,_xlfn.AGGREGATE(15,6,(ROW(Tickets!$F$2:$F$161)-ROW(Tickets!$F$2)+1)/(Tickets!$F$2:$F$161=$B$15),ROWS($A$23:A57))),"")</f>
        <v>Epic</v>
      </c>
      <c r="C57" t="str">
        <f>IFERROR(INDEX(Tickets!$D$2:$D$161,_xlfn.AGGREGATE(15,6,(ROW(Tickets!$F$2:$F$161)-ROW(Tickets!$F$2)+1)/(Tickets!$F$2:$F$161=$B$15),ROWS($A$23:A57))),"")</f>
        <v>Employer Application Tracking</v>
      </c>
      <c r="D57" t="str">
        <f>IFERROR(INDEX(Tickets!$E$2:$E$161,_xlfn.AGGREGATE(15,6,(ROW(Tickets!$F$2:$F$161)-ROW(Tickets!$F$2)+1)/(Tickets!$F$2:$F$161=$B$15),ROWS($A$23:A57))),"")</f>
        <v>Employer Employee Status Management</v>
      </c>
      <c r="E57" t="str">
        <f>IFERROR(INDEX(Tickets!$G$2:$G$161,_xlfn.AGGREGATE(15,6,(ROW(Tickets!$F$2:$F$161)-ROW(Tickets!$F$2)+1)/(Tickets!$F$2:$F$161=$B$15),ROWS($A$23:A57))),"")</f>
        <v>Backlog</v>
      </c>
      <c r="F57">
        <f>IFERROR(INDEX(Tickets!$H$2:$H$161,_xlfn.AGGREGATE(15,6,(ROW(Tickets!$F$2:$F$161)-ROW(Tickets!$F$2)+1)/(Tickets!$F$2:$F$161=$B$15),ROWS($A$23:A57))),"")</f>
        <v>0</v>
      </c>
      <c r="G57" s="2"/>
      <c r="H57" s="2"/>
      <c r="I57" s="2"/>
      <c r="J57" s="2"/>
      <c r="K57" s="2"/>
    </row>
    <row r="58" spans="1:11" x14ac:dyDescent="0.2">
      <c r="A58" t="str">
        <f>IFERROR(INDEX(Tickets!$A$2:$A$161,_xlfn.AGGREGATE(15,6,(ROW(Tickets!$F$2:$F$161)-ROW(Tickets!$F$2)+1)/(Tickets!$F$2:$F$161=$B$15),ROWS($A$23:A58))),"")</f>
        <v>WPT-059</v>
      </c>
      <c r="B58" t="str">
        <f>IFERROR(INDEX(Tickets!$C$2:$C$161,_xlfn.AGGREGATE(15,6,(ROW(Tickets!$F$2:$F$161)-ROW(Tickets!$F$2)+1)/(Tickets!$F$2:$F$161=$B$15),ROWS($A$23:A58))),"")</f>
        <v>Story</v>
      </c>
      <c r="C58" t="str">
        <f>IFERROR(INDEX(Tickets!$D$2:$D$161,_xlfn.AGGREGATE(15,6,(ROW(Tickets!$F$2:$F$161)-ROW(Tickets!$F$2)+1)/(Tickets!$F$2:$F$161=$B$15),ROWS($A$23:A58))),"")</f>
        <v>Employer Application Tracking</v>
      </c>
      <c r="D58" t="str">
        <f>IFERROR(INDEX(Tickets!$E$2:$E$161,_xlfn.AGGREGATE(15,6,(ROW(Tickets!$F$2:$F$161)-ROW(Tickets!$F$2)+1)/(Tickets!$F$2:$F$161=$B$15),ROWS($A$23:A58))),"")</f>
        <v>Update Employee application status</v>
      </c>
      <c r="E58" t="str">
        <f>IFERROR(INDEX(Tickets!$G$2:$G$161,_xlfn.AGGREGATE(15,6,(ROW(Tickets!$F$2:$F$161)-ROW(Tickets!$F$2)+1)/(Tickets!$F$2:$F$161=$B$15),ROWS($A$23:A58))),"")</f>
        <v>Backlog</v>
      </c>
      <c r="F58">
        <f>IFERROR(INDEX(Tickets!$H$2:$H$161,_xlfn.AGGREGATE(15,6,(ROW(Tickets!$F$2:$F$161)-ROW(Tickets!$F$2)+1)/(Tickets!$F$2:$F$161=$B$15),ROWS($A$23:A58))),"")</f>
        <v>8</v>
      </c>
      <c r="G58" s="2"/>
      <c r="H58" s="2"/>
      <c r="I58" s="2"/>
      <c r="J58" s="2"/>
      <c r="K58" s="2"/>
    </row>
    <row r="59" spans="1:11" x14ac:dyDescent="0.2">
      <c r="A59" t="str">
        <f>IFERROR(INDEX(Tickets!$A$2:$A$161,_xlfn.AGGREGATE(15,6,(ROW(Tickets!$F$2:$F$161)-ROW(Tickets!$F$2)+1)/(Tickets!$F$2:$F$161=$B$15),ROWS($A$23:A59))),"")</f>
        <v>WPT-060</v>
      </c>
      <c r="B59" t="str">
        <f>IFERROR(INDEX(Tickets!$C$2:$C$161,_xlfn.AGGREGATE(15,6,(ROW(Tickets!$F$2:$F$161)-ROW(Tickets!$F$2)+1)/(Tickets!$F$2:$F$161=$B$15),ROWS($A$23:A59))),"")</f>
        <v>Task</v>
      </c>
      <c r="C59" t="str">
        <f>IFERROR(INDEX(Tickets!$D$2:$D$161,_xlfn.AGGREGATE(15,6,(ROW(Tickets!$F$2:$F$161)-ROW(Tickets!$F$2)+1)/(Tickets!$F$2:$F$161=$B$15),ROWS($A$23:A59))),"")</f>
        <v>Employer Application Tracking</v>
      </c>
      <c r="D59" t="str">
        <f>IFERROR(INDEX(Tickets!$E$2:$E$161,_xlfn.AGGREGATE(15,6,(ROW(Tickets!$F$2:$F$161)-ROW(Tickets!$F$2)+1)/(Tickets!$F$2:$F$161=$B$15),ROWS($A$23:A59))),"")</f>
        <v>Create status dropdown for application</v>
      </c>
      <c r="E59" t="str">
        <f>IFERROR(INDEX(Tickets!$G$2:$G$161,_xlfn.AGGREGATE(15,6,(ROW(Tickets!$F$2:$F$161)-ROW(Tickets!$F$2)+1)/(Tickets!$F$2:$F$161=$B$15),ROWS($A$23:A59))),"")</f>
        <v>Backlog</v>
      </c>
      <c r="F59">
        <f>IFERROR(INDEX(Tickets!$H$2:$H$161,_xlfn.AGGREGATE(15,6,(ROW(Tickets!$F$2:$F$161)-ROW(Tickets!$F$2)+1)/(Tickets!$F$2:$F$161=$B$15),ROWS($A$23:A59))),"")</f>
        <v>3</v>
      </c>
      <c r="G59" s="2"/>
      <c r="H59" s="2"/>
      <c r="I59" s="2"/>
      <c r="J59" s="2"/>
      <c r="K59" s="2"/>
    </row>
    <row r="60" spans="1:11" x14ac:dyDescent="0.2">
      <c r="A60" t="str">
        <f>IFERROR(INDEX(Tickets!$A$2:$A$161,_xlfn.AGGREGATE(15,6,(ROW(Tickets!$F$2:$F$161)-ROW(Tickets!$F$2)+1)/(Tickets!$F$2:$F$161=$B$15),ROWS($A$23:A60))),"")</f>
        <v>WPT-061</v>
      </c>
      <c r="B60" t="str">
        <f>IFERROR(INDEX(Tickets!$C$2:$C$161,_xlfn.AGGREGATE(15,6,(ROW(Tickets!$F$2:$F$161)-ROW(Tickets!$F$2)+1)/(Tickets!$F$2:$F$161=$B$15),ROWS($A$23:A60))),"")</f>
        <v>Task</v>
      </c>
      <c r="C60" t="str">
        <f>IFERROR(INDEX(Tickets!$D$2:$D$161,_xlfn.AGGREGATE(15,6,(ROW(Tickets!$F$2:$F$161)-ROW(Tickets!$F$2)+1)/(Tickets!$F$2:$F$161=$B$15),ROWS($A$23:A60))),"")</f>
        <v>Employer Application Tracking</v>
      </c>
      <c r="D60" t="str">
        <f>IFERROR(INDEX(Tickets!$E$2:$E$161,_xlfn.AGGREGATE(15,6,(ROW(Tickets!$F$2:$F$161)-ROW(Tickets!$F$2)+1)/(Tickets!$F$2:$F$161=$B$15),ROWS($A$23:A60))),"")</f>
        <v>Create update application status API</v>
      </c>
      <c r="E60" t="str">
        <f>IFERROR(INDEX(Tickets!$G$2:$G$161,_xlfn.AGGREGATE(15,6,(ROW(Tickets!$F$2:$F$161)-ROW(Tickets!$F$2)+1)/(Tickets!$F$2:$F$161=$B$15),ROWS($A$23:A60))),"")</f>
        <v>Backlog</v>
      </c>
      <c r="F60">
        <f>IFERROR(INDEX(Tickets!$H$2:$H$161,_xlfn.AGGREGATE(15,6,(ROW(Tickets!$F$2:$F$161)-ROW(Tickets!$F$2)+1)/(Tickets!$F$2:$F$161=$B$15),ROWS($A$23:A60))),"")</f>
        <v>5</v>
      </c>
      <c r="G60" s="2"/>
      <c r="H60" s="2"/>
      <c r="I60" s="2"/>
      <c r="J60" s="2"/>
      <c r="K60" s="2"/>
    </row>
    <row r="61" spans="1:11" x14ac:dyDescent="0.2">
      <c r="A61" t="str">
        <f>IFERROR(INDEX(Tickets!$A$2:$A$161,_xlfn.AGGREGATE(15,6,(ROW(Tickets!$F$2:$F$161)-ROW(Tickets!$F$2)+1)/(Tickets!$F$2:$F$161=$B$15),ROWS($A$23:A61))),"")</f>
        <v>WPT-062</v>
      </c>
      <c r="B61" t="str">
        <f>IFERROR(INDEX(Tickets!$C$2:$C$161,_xlfn.AGGREGATE(15,6,(ROW(Tickets!$F$2:$F$161)-ROW(Tickets!$F$2)+1)/(Tickets!$F$2:$F$161=$B$15),ROWS($A$23:A61))),"")</f>
        <v>Task</v>
      </c>
      <c r="C61" t="str">
        <f>IFERROR(INDEX(Tickets!$D$2:$D$161,_xlfn.AGGREGATE(15,6,(ROW(Tickets!$F$2:$F$161)-ROW(Tickets!$F$2)+1)/(Tickets!$F$2:$F$161=$B$15),ROWS($A$23:A61))),"")</f>
        <v>Employer Application Tracking</v>
      </c>
      <c r="D61" t="str">
        <f>IFERROR(INDEX(Tickets!$E$2:$E$161,_xlfn.AGGREGATE(15,6,(ROW(Tickets!$F$2:$F$161)-ROW(Tickets!$F$2)+1)/(Tickets!$F$2:$F$161=$B$15),ROWS($A$23:A61))),"")</f>
        <v>Show status history or latest status</v>
      </c>
      <c r="E61" t="str">
        <f>IFERROR(INDEX(Tickets!$G$2:$G$161,_xlfn.AGGREGATE(15,6,(ROW(Tickets!$F$2:$F$161)-ROW(Tickets!$F$2)+1)/(Tickets!$F$2:$F$161=$B$15),ROWS($A$23:A61))),"")</f>
        <v>Backlog</v>
      </c>
      <c r="F61">
        <f>IFERROR(INDEX(Tickets!$H$2:$H$161,_xlfn.AGGREGATE(15,6,(ROW(Tickets!$F$2:$F$161)-ROW(Tickets!$F$2)+1)/(Tickets!$F$2:$F$161=$B$15),ROWS($A$23:A61))),"")</f>
        <v>3</v>
      </c>
      <c r="G61" s="2"/>
      <c r="H61" s="2"/>
      <c r="I61" s="2"/>
      <c r="J61" s="2"/>
      <c r="K61" s="2"/>
    </row>
    <row r="62" spans="1:11" x14ac:dyDescent="0.2">
      <c r="A62" t="str">
        <f>IFERROR(INDEX(Tickets!$A$2:$A$161,_xlfn.AGGREGATE(15,6,(ROW(Tickets!$F$2:$F$161)-ROW(Tickets!$F$2)+1)/(Tickets!$F$2:$F$161=$B$15),ROWS($A$23:A62))),"")</f>
        <v>WPT-063</v>
      </c>
      <c r="B62" t="str">
        <f>IFERROR(INDEX(Tickets!$C$2:$C$161,_xlfn.AGGREGATE(15,6,(ROW(Tickets!$F$2:$F$161)-ROW(Tickets!$F$2)+1)/(Tickets!$F$2:$F$161=$B$15),ROWS($A$23:A62))),"")</f>
        <v>Epic</v>
      </c>
      <c r="C62" t="str">
        <f>IFERROR(INDEX(Tickets!$D$2:$D$161,_xlfn.AGGREGATE(15,6,(ROW(Tickets!$F$2:$F$161)-ROW(Tickets!$F$2)+1)/(Tickets!$F$2:$F$161=$B$15),ROWS($A$23:A62))),"")</f>
        <v>Employer Event Management</v>
      </c>
      <c r="D62" t="str">
        <f>IFERROR(INDEX(Tickets!$E$2:$E$161,_xlfn.AGGREGATE(15,6,(ROW(Tickets!$F$2:$F$161)-ROW(Tickets!$F$2)+1)/(Tickets!$F$2:$F$161=$B$15),ROWS($A$23:A62))),"")</f>
        <v>Employer Event Dashboard and Events</v>
      </c>
      <c r="E62" t="str">
        <f>IFERROR(INDEX(Tickets!$G$2:$G$161,_xlfn.AGGREGATE(15,6,(ROW(Tickets!$F$2:$F$161)-ROW(Tickets!$F$2)+1)/(Tickets!$F$2:$F$161=$B$15),ROWS($A$23:A62))),"")</f>
        <v>Backlog</v>
      </c>
      <c r="F62">
        <f>IFERROR(INDEX(Tickets!$H$2:$H$161,_xlfn.AGGREGATE(15,6,(ROW(Tickets!$F$2:$F$161)-ROW(Tickets!$F$2)+1)/(Tickets!$F$2:$F$161=$B$15),ROWS($A$23:A62))),"")</f>
        <v>0</v>
      </c>
      <c r="G62" s="2"/>
      <c r="H62" s="2"/>
      <c r="I62" s="2"/>
      <c r="J62" s="2"/>
      <c r="K62" s="2"/>
    </row>
    <row r="63" spans="1:11" x14ac:dyDescent="0.2">
      <c r="A63" t="str">
        <f>IFERROR(INDEX(Tickets!$A$2:$A$161,_xlfn.AGGREGATE(15,6,(ROW(Tickets!$F$2:$F$161)-ROW(Tickets!$F$2)+1)/(Tickets!$F$2:$F$161=$B$15),ROWS($A$23:A63))),"")</f>
        <v>WPT-064</v>
      </c>
      <c r="B63" t="str">
        <f>IFERROR(INDEX(Tickets!$C$2:$C$161,_xlfn.AGGREGATE(15,6,(ROW(Tickets!$F$2:$F$161)-ROW(Tickets!$F$2)+1)/(Tickets!$F$2:$F$161=$B$15),ROWS($A$23:A63))),"")</f>
        <v>Story</v>
      </c>
      <c r="C63" t="str">
        <f>IFERROR(INDEX(Tickets!$D$2:$D$161,_xlfn.AGGREGATE(15,6,(ROW(Tickets!$F$2:$F$161)-ROW(Tickets!$F$2)+1)/(Tickets!$F$2:$F$161=$B$15),ROWS($A$23:A63))),"")</f>
        <v>Employer Event Management</v>
      </c>
      <c r="D63" t="str">
        <f>IFERROR(INDEX(Tickets!$E$2:$E$161,_xlfn.AGGREGATE(15,6,(ROW(Tickets!$F$2:$F$161)-ROW(Tickets!$F$2)+1)/(Tickets!$F$2:$F$161=$B$15),ROWS($A$23:A63))),"")</f>
        <v>View employer event dashboard</v>
      </c>
      <c r="E63" t="str">
        <f>IFERROR(INDEX(Tickets!$G$2:$G$161,_xlfn.AGGREGATE(15,6,(ROW(Tickets!$F$2:$F$161)-ROW(Tickets!$F$2)+1)/(Tickets!$F$2:$F$161=$B$15),ROWS($A$23:A63))),"")</f>
        <v>Backlog</v>
      </c>
      <c r="F63">
        <f>IFERROR(INDEX(Tickets!$H$2:$H$161,_xlfn.AGGREGATE(15,6,(ROW(Tickets!$F$2:$F$161)-ROW(Tickets!$F$2)+1)/(Tickets!$F$2:$F$161=$B$15),ROWS($A$23:A63))),"")</f>
        <v>8</v>
      </c>
      <c r="G63" s="2"/>
      <c r="H63" s="2"/>
      <c r="I63" s="2"/>
      <c r="J63" s="2"/>
      <c r="K63" s="2"/>
    </row>
    <row r="64" spans="1:11" x14ac:dyDescent="0.2">
      <c r="A64" t="str">
        <f>IFERROR(INDEX(Tickets!$A$2:$A$161,_xlfn.AGGREGATE(15,6,(ROW(Tickets!$F$2:$F$161)-ROW(Tickets!$F$2)+1)/(Tickets!$F$2:$F$161=$B$15),ROWS($A$23:A64))),"")</f>
        <v>WPT-065</v>
      </c>
      <c r="B64" t="str">
        <f>IFERROR(INDEX(Tickets!$C$2:$C$161,_xlfn.AGGREGATE(15,6,(ROW(Tickets!$F$2:$F$161)-ROW(Tickets!$F$2)+1)/(Tickets!$F$2:$F$161=$B$15),ROWS($A$23:A64))),"")</f>
        <v>Task</v>
      </c>
      <c r="C64" t="str">
        <f>IFERROR(INDEX(Tickets!$D$2:$D$161,_xlfn.AGGREGATE(15,6,(ROW(Tickets!$F$2:$F$161)-ROW(Tickets!$F$2)+1)/(Tickets!$F$2:$F$161=$B$15),ROWS($A$23:A64))),"")</f>
        <v>Employer Event Management</v>
      </c>
      <c r="D64" t="str">
        <f>IFERROR(INDEX(Tickets!$E$2:$E$161,_xlfn.AGGREGATE(15,6,(ROW(Tickets!$F$2:$F$161)-ROW(Tickets!$F$2)+1)/(Tickets!$F$2:$F$161=$B$15),ROWS($A$23:A64))),"")</f>
        <v>Show total events created</v>
      </c>
      <c r="E64" t="str">
        <f>IFERROR(INDEX(Tickets!$G$2:$G$161,_xlfn.AGGREGATE(15,6,(ROW(Tickets!$F$2:$F$161)-ROW(Tickets!$F$2)+1)/(Tickets!$F$2:$F$161=$B$15),ROWS($A$23:A64))),"")</f>
        <v>Backlog</v>
      </c>
      <c r="F64">
        <f>IFERROR(INDEX(Tickets!$H$2:$H$161,_xlfn.AGGREGATE(15,6,(ROW(Tickets!$F$2:$F$161)-ROW(Tickets!$F$2)+1)/(Tickets!$F$2:$F$161=$B$15),ROWS($A$23:A64))),"")</f>
        <v>3</v>
      </c>
      <c r="G64" s="2"/>
      <c r="H64" s="2"/>
      <c r="I64" s="2"/>
      <c r="J64" s="2"/>
      <c r="K64" s="2"/>
    </row>
    <row r="65" spans="1:11" x14ac:dyDescent="0.2">
      <c r="A65" t="str">
        <f>IFERROR(INDEX(Tickets!$A$2:$A$161,_xlfn.AGGREGATE(15,6,(ROW(Tickets!$F$2:$F$161)-ROW(Tickets!$F$2)+1)/(Tickets!$F$2:$F$161=$B$15),ROWS($A$23:A65))),"")</f>
        <v>WPT-066</v>
      </c>
      <c r="B65" t="str">
        <f>IFERROR(INDEX(Tickets!$C$2:$C$161,_xlfn.AGGREGATE(15,6,(ROW(Tickets!$F$2:$F$161)-ROW(Tickets!$F$2)+1)/(Tickets!$F$2:$F$161=$B$15),ROWS($A$23:A65))),"")</f>
        <v>Task</v>
      </c>
      <c r="C65" t="str">
        <f>IFERROR(INDEX(Tickets!$D$2:$D$161,_xlfn.AGGREGATE(15,6,(ROW(Tickets!$F$2:$F$161)-ROW(Tickets!$F$2)+1)/(Tickets!$F$2:$F$161=$B$15),ROWS($A$23:A65))),"")</f>
        <v>Employer Event Management</v>
      </c>
      <c r="D65" t="str">
        <f>IFERROR(INDEX(Tickets!$E$2:$E$161,_xlfn.AGGREGATE(15,6,(ROW(Tickets!$F$2:$F$161)-ROW(Tickets!$F$2)+1)/(Tickets!$F$2:$F$161=$B$15),ROWS($A$23:A65))),"")</f>
        <v>Show upcoming events count</v>
      </c>
      <c r="E65" t="str">
        <f>IFERROR(INDEX(Tickets!$G$2:$G$161,_xlfn.AGGREGATE(15,6,(ROW(Tickets!$F$2:$F$161)-ROW(Tickets!$F$2)+1)/(Tickets!$F$2:$F$161=$B$15),ROWS($A$23:A65))),"")</f>
        <v>Backlog</v>
      </c>
      <c r="F65">
        <f>IFERROR(INDEX(Tickets!$H$2:$H$161,_xlfn.AGGREGATE(15,6,(ROW(Tickets!$F$2:$F$161)-ROW(Tickets!$F$2)+1)/(Tickets!$F$2:$F$161=$B$15),ROWS($A$23:A65))),"")</f>
        <v>3</v>
      </c>
      <c r="G65" s="2"/>
      <c r="H65" s="2"/>
      <c r="I65" s="2"/>
      <c r="J65" s="2"/>
      <c r="K65" s="2"/>
    </row>
    <row r="66" spans="1:11" x14ac:dyDescent="0.2">
      <c r="A66" t="str">
        <f>IFERROR(INDEX(Tickets!$A$2:$A$161,_xlfn.AGGREGATE(15,6,(ROW(Tickets!$F$2:$F$161)-ROW(Tickets!$F$2)+1)/(Tickets!$F$2:$F$161=$B$15),ROWS($A$23:A66))),"")</f>
        <v>WPT-067</v>
      </c>
      <c r="B66" t="str">
        <f>IFERROR(INDEX(Tickets!$C$2:$C$161,_xlfn.AGGREGATE(15,6,(ROW(Tickets!$F$2:$F$161)-ROW(Tickets!$F$2)+1)/(Tickets!$F$2:$F$161=$B$15),ROWS($A$23:A66))),"")</f>
        <v>Task</v>
      </c>
      <c r="C66" t="str">
        <f>IFERROR(INDEX(Tickets!$D$2:$D$161,_xlfn.AGGREGATE(15,6,(ROW(Tickets!$F$2:$F$161)-ROW(Tickets!$F$2)+1)/(Tickets!$F$2:$F$161=$B$15),ROWS($A$23:A66))),"")</f>
        <v>Employer Event Management</v>
      </c>
      <c r="D66" t="str">
        <f>IFERROR(INDEX(Tickets!$E$2:$E$161,_xlfn.AGGREGATE(15,6,(ROW(Tickets!$F$2:$F$161)-ROW(Tickets!$F$2)+1)/(Tickets!$F$2:$F$161=$B$15),ROWS($A$23:A66))),"")</f>
        <v>Show completed events count</v>
      </c>
      <c r="E66" t="str">
        <f>IFERROR(INDEX(Tickets!$G$2:$G$161,_xlfn.AGGREGATE(15,6,(ROW(Tickets!$F$2:$F$161)-ROW(Tickets!$F$2)+1)/(Tickets!$F$2:$F$161=$B$15),ROWS($A$23:A66))),"")</f>
        <v>Backlog</v>
      </c>
      <c r="F66">
        <f>IFERROR(INDEX(Tickets!$H$2:$H$161,_xlfn.AGGREGATE(15,6,(ROW(Tickets!$F$2:$F$161)-ROW(Tickets!$F$2)+1)/(Tickets!$F$2:$F$161=$B$15),ROWS($A$23:A66))),"")</f>
        <v>3</v>
      </c>
      <c r="G66" s="2"/>
      <c r="H66" s="2"/>
      <c r="I66" s="2"/>
      <c r="J66" s="2"/>
      <c r="K66" s="2"/>
    </row>
    <row r="67" spans="1:11" x14ac:dyDescent="0.2">
      <c r="A67" t="str">
        <f>IFERROR(INDEX(Tickets!$A$2:$A$161,_xlfn.AGGREGATE(15,6,(ROW(Tickets!$F$2:$F$161)-ROW(Tickets!$F$2)+1)/(Tickets!$F$2:$F$161=$B$15),ROWS($A$23:A67))),"")</f>
        <v>WPT-068</v>
      </c>
      <c r="B67" t="str">
        <f>IFERROR(INDEX(Tickets!$C$2:$C$161,_xlfn.AGGREGATE(15,6,(ROW(Tickets!$F$2:$F$161)-ROW(Tickets!$F$2)+1)/(Tickets!$F$2:$F$161=$B$15),ROWS($A$23:A67))),"")</f>
        <v>Story</v>
      </c>
      <c r="C67" t="str">
        <f>IFERROR(INDEX(Tickets!$D$2:$D$161,_xlfn.AGGREGATE(15,6,(ROW(Tickets!$F$2:$F$161)-ROW(Tickets!$F$2)+1)/(Tickets!$F$2:$F$161=$B$15),ROWS($A$23:A67))),"")</f>
        <v>Employer Event Management</v>
      </c>
      <c r="D67" t="str">
        <f>IFERROR(INDEX(Tickets!$E$2:$E$161,_xlfn.AGGREGATE(15,6,(ROW(Tickets!$F$2:$F$161)-ROW(Tickets!$F$2)+1)/(Tickets!$F$2:$F$161=$B$15),ROWS($A$23:A67))),"")</f>
        <v>Create new event</v>
      </c>
      <c r="E67" t="str">
        <f>IFERROR(INDEX(Tickets!$G$2:$G$161,_xlfn.AGGREGATE(15,6,(ROW(Tickets!$F$2:$F$161)-ROW(Tickets!$F$2)+1)/(Tickets!$F$2:$F$161=$B$15),ROWS($A$23:A67))),"")</f>
        <v>Backlog</v>
      </c>
      <c r="F67">
        <f>IFERROR(INDEX(Tickets!$H$2:$H$161,_xlfn.AGGREGATE(15,6,(ROW(Tickets!$F$2:$F$161)-ROW(Tickets!$F$2)+1)/(Tickets!$F$2:$F$161=$B$15),ROWS($A$23:A67))),"")</f>
        <v>8</v>
      </c>
      <c r="G67" s="2"/>
      <c r="H67" s="2"/>
      <c r="I67" s="2"/>
      <c r="J67" s="2"/>
      <c r="K67" s="2"/>
    </row>
    <row r="68" spans="1:11" x14ac:dyDescent="0.2">
      <c r="A68" t="str">
        <f>IFERROR(INDEX(Tickets!$A$2:$A$161,_xlfn.AGGREGATE(15,6,(ROW(Tickets!$F$2:$F$161)-ROW(Tickets!$F$2)+1)/(Tickets!$F$2:$F$161=$B$15),ROWS($A$23:A68))),"")</f>
        <v>WPT-069</v>
      </c>
      <c r="B68" t="str">
        <f>IFERROR(INDEX(Tickets!$C$2:$C$161,_xlfn.AGGREGATE(15,6,(ROW(Tickets!$F$2:$F$161)-ROW(Tickets!$F$2)+1)/(Tickets!$F$2:$F$161=$B$15),ROWS($A$23:A68))),"")</f>
        <v>Task</v>
      </c>
      <c r="C68" t="str">
        <f>IFERROR(INDEX(Tickets!$D$2:$D$161,_xlfn.AGGREGATE(15,6,(ROW(Tickets!$F$2:$F$161)-ROW(Tickets!$F$2)+1)/(Tickets!$F$2:$F$161=$B$15),ROWS($A$23:A68))),"")</f>
        <v>Employer Event Management</v>
      </c>
      <c r="D68" t="str">
        <f>IFERROR(INDEX(Tickets!$E$2:$E$161,_xlfn.AGGREGATE(15,6,(ROW(Tickets!$F$2:$F$161)-ROW(Tickets!$F$2)+1)/(Tickets!$F$2:$F$161=$B$15),ROWS($A$23:A68))),"")</f>
        <v>Create event form UI</v>
      </c>
      <c r="E68" t="str">
        <f>IFERROR(INDEX(Tickets!$G$2:$G$161,_xlfn.AGGREGATE(15,6,(ROW(Tickets!$F$2:$F$161)-ROW(Tickets!$F$2)+1)/(Tickets!$F$2:$F$161=$B$15),ROWS($A$23:A68))),"")</f>
        <v>Backlog</v>
      </c>
      <c r="F68">
        <f>IFERROR(INDEX(Tickets!$H$2:$H$161,_xlfn.AGGREGATE(15,6,(ROW(Tickets!$F$2:$F$161)-ROW(Tickets!$F$2)+1)/(Tickets!$F$2:$F$161=$B$15),ROWS($A$23:A68))),"")</f>
        <v>5</v>
      </c>
      <c r="G68" s="2"/>
      <c r="H68" s="2"/>
      <c r="I68" s="2"/>
      <c r="J68" s="2"/>
      <c r="K68" s="2"/>
    </row>
    <row r="69" spans="1:11" x14ac:dyDescent="0.2">
      <c r="A69" t="str">
        <f>IFERROR(INDEX(Tickets!$A$2:$A$161,_xlfn.AGGREGATE(15,6,(ROW(Tickets!$F$2:$F$161)-ROW(Tickets!$F$2)+1)/(Tickets!$F$2:$F$161=$B$15),ROWS($A$23:A69))),"")</f>
        <v>WPT-070</v>
      </c>
      <c r="B69" t="str">
        <f>IFERROR(INDEX(Tickets!$C$2:$C$161,_xlfn.AGGREGATE(15,6,(ROW(Tickets!$F$2:$F$161)-ROW(Tickets!$F$2)+1)/(Tickets!$F$2:$F$161=$B$15),ROWS($A$23:A69))),"")</f>
        <v>Task</v>
      </c>
      <c r="C69" t="str">
        <f>IFERROR(INDEX(Tickets!$D$2:$D$161,_xlfn.AGGREGATE(15,6,(ROW(Tickets!$F$2:$F$161)-ROW(Tickets!$F$2)+1)/(Tickets!$F$2:$F$161=$B$15),ROWS($A$23:A69))),"")</f>
        <v>Employer Event Management</v>
      </c>
      <c r="D69" t="str">
        <f>IFERROR(INDEX(Tickets!$E$2:$E$161,_xlfn.AGGREGATE(15,6,(ROW(Tickets!$F$2:$F$161)-ROW(Tickets!$F$2)+1)/(Tickets!$F$2:$F$161=$B$15),ROWS($A$23:A69))),"")</f>
        <v>Create save event API</v>
      </c>
      <c r="E69" t="str">
        <f>IFERROR(INDEX(Tickets!$G$2:$G$161,_xlfn.AGGREGATE(15,6,(ROW(Tickets!$F$2:$F$161)-ROW(Tickets!$F$2)+1)/(Tickets!$F$2:$F$161=$B$15),ROWS($A$23:A69))),"")</f>
        <v>Backlog</v>
      </c>
      <c r="F69">
        <f>IFERROR(INDEX(Tickets!$H$2:$H$161,_xlfn.AGGREGATE(15,6,(ROW(Tickets!$F$2:$F$161)-ROW(Tickets!$F$2)+1)/(Tickets!$F$2:$F$161=$B$15),ROWS($A$23:A69))),"")</f>
        <v>5</v>
      </c>
      <c r="G69" s="2"/>
      <c r="H69" s="2"/>
      <c r="I69" s="2"/>
      <c r="J69" s="2"/>
      <c r="K69" s="2"/>
    </row>
    <row r="70" spans="1:11" x14ac:dyDescent="0.2">
      <c r="A70" t="str">
        <f>IFERROR(INDEX(Tickets!$A$2:$A$161,_xlfn.AGGREGATE(15,6,(ROW(Tickets!$F$2:$F$161)-ROW(Tickets!$F$2)+1)/(Tickets!$F$2:$F$161=$B$15),ROWS($A$23:A70))),"")</f>
        <v>WPT-071</v>
      </c>
      <c r="B70" t="str">
        <f>IFERROR(INDEX(Tickets!$C$2:$C$161,_xlfn.AGGREGATE(15,6,(ROW(Tickets!$F$2:$F$161)-ROW(Tickets!$F$2)+1)/(Tickets!$F$2:$F$161=$B$15),ROWS($A$23:A70))),"")</f>
        <v>Task</v>
      </c>
      <c r="C70" t="str">
        <f>IFERROR(INDEX(Tickets!$D$2:$D$161,_xlfn.AGGREGATE(15,6,(ROW(Tickets!$F$2:$F$161)-ROW(Tickets!$F$2)+1)/(Tickets!$F$2:$F$161=$B$15),ROWS($A$23:A70))),"")</f>
        <v>Employer Event Management</v>
      </c>
      <c r="D70" t="str">
        <f>IFERROR(INDEX(Tickets!$E$2:$E$161,_xlfn.AGGREGATE(15,6,(ROW(Tickets!$F$2:$F$161)-ROW(Tickets!$F$2)+1)/(Tickets!$F$2:$F$161=$B$15),ROWS($A$23:A70))),"")</f>
        <v>Validate event fields</v>
      </c>
      <c r="E70" t="str">
        <f>IFERROR(INDEX(Tickets!$G$2:$G$161,_xlfn.AGGREGATE(15,6,(ROW(Tickets!$F$2:$F$161)-ROW(Tickets!$F$2)+1)/(Tickets!$F$2:$F$161=$B$15),ROWS($A$23:A70))),"")</f>
        <v>Backlog</v>
      </c>
      <c r="F70">
        <f>IFERROR(INDEX(Tickets!$H$2:$H$161,_xlfn.AGGREGATE(15,6,(ROW(Tickets!$F$2:$F$161)-ROW(Tickets!$F$2)+1)/(Tickets!$F$2:$F$161=$B$15),ROWS($A$23:A70))),"")</f>
        <v>3</v>
      </c>
      <c r="G70" s="2"/>
      <c r="H70" s="2"/>
      <c r="I70" s="2"/>
      <c r="J70" s="2"/>
      <c r="K70" s="2"/>
    </row>
    <row r="71" spans="1:11" x14ac:dyDescent="0.2">
      <c r="A71" t="str">
        <f>IFERROR(INDEX(Tickets!$A$2:$A$161,_xlfn.AGGREGATE(15,6,(ROW(Tickets!$F$2:$F$161)-ROW(Tickets!$F$2)+1)/(Tickets!$F$2:$F$161=$B$15),ROWS($A$23:A71))),"")</f>
        <v>WPT-072</v>
      </c>
      <c r="B71" t="str">
        <f>IFERROR(INDEX(Tickets!$C$2:$C$161,_xlfn.AGGREGATE(15,6,(ROW(Tickets!$F$2:$F$161)-ROW(Tickets!$F$2)+1)/(Tickets!$F$2:$F$161=$B$15),ROWS($A$23:A71))),"")</f>
        <v>Story</v>
      </c>
      <c r="C71" t="str">
        <f>IFERROR(INDEX(Tickets!$D$2:$D$161,_xlfn.AGGREGATE(15,6,(ROW(Tickets!$F$2:$F$161)-ROW(Tickets!$F$2)+1)/(Tickets!$F$2:$F$161=$B$15),ROWS($A$23:A71))),"")</f>
        <v>Employer Event Management</v>
      </c>
      <c r="D71" t="str">
        <f>IFERROR(INDEX(Tickets!$E$2:$E$161,_xlfn.AGGREGATE(15,6,(ROW(Tickets!$F$2:$F$161)-ROW(Tickets!$F$2)+1)/(Tickets!$F$2:$F$161=$B$15),ROWS($A$23:A71))),"")</f>
        <v>View event details</v>
      </c>
      <c r="E71" t="str">
        <f>IFERROR(INDEX(Tickets!$G$2:$G$161,_xlfn.AGGREGATE(15,6,(ROW(Tickets!$F$2:$F$161)-ROW(Tickets!$F$2)+1)/(Tickets!$F$2:$F$161=$B$15),ROWS($A$23:A71))),"")</f>
        <v>Backlog</v>
      </c>
      <c r="F71">
        <f>IFERROR(INDEX(Tickets!$H$2:$H$161,_xlfn.AGGREGATE(15,6,(ROW(Tickets!$F$2:$F$161)-ROW(Tickets!$F$2)+1)/(Tickets!$F$2:$F$161=$B$15),ROWS($A$23:A71))),"")</f>
        <v>8</v>
      </c>
      <c r="G71" s="2"/>
      <c r="H71" s="2"/>
      <c r="I71" s="2"/>
      <c r="J71" s="2"/>
      <c r="K71" s="2"/>
    </row>
    <row r="72" spans="1:11" x14ac:dyDescent="0.2">
      <c r="A72" t="str">
        <f>IFERROR(INDEX(Tickets!$A$2:$A$161,_xlfn.AGGREGATE(15,6,(ROW(Tickets!$F$2:$F$161)-ROW(Tickets!$F$2)+1)/(Tickets!$F$2:$F$161=$B$15),ROWS($A$23:A72))),"")</f>
        <v>WPT-073</v>
      </c>
      <c r="B72" t="str">
        <f>IFERROR(INDEX(Tickets!$C$2:$C$161,_xlfn.AGGREGATE(15,6,(ROW(Tickets!$F$2:$F$161)-ROW(Tickets!$F$2)+1)/(Tickets!$F$2:$F$161=$B$15),ROWS($A$23:A72))),"")</f>
        <v>Task</v>
      </c>
      <c r="C72" t="str">
        <f>IFERROR(INDEX(Tickets!$D$2:$D$161,_xlfn.AGGREGATE(15,6,(ROW(Tickets!$F$2:$F$161)-ROW(Tickets!$F$2)+1)/(Tickets!$F$2:$F$161=$B$15),ROWS($A$23:A72))),"")</f>
        <v>Employer Event Management</v>
      </c>
      <c r="D72" t="str">
        <f>IFERROR(INDEX(Tickets!$E$2:$E$161,_xlfn.AGGREGATE(15,6,(ROW(Tickets!$F$2:$F$161)-ROW(Tickets!$F$2)+1)/(Tickets!$F$2:$F$161=$B$15),ROWS($A$23:A72))),"")</f>
        <v>Display event information</v>
      </c>
      <c r="E72" t="str">
        <f>IFERROR(INDEX(Tickets!$G$2:$G$161,_xlfn.AGGREGATE(15,6,(ROW(Tickets!$F$2:$F$161)-ROW(Tickets!$F$2)+1)/(Tickets!$F$2:$F$161=$B$15),ROWS($A$23:A72))),"")</f>
        <v>Backlog</v>
      </c>
      <c r="F72">
        <f>IFERROR(INDEX(Tickets!$H$2:$H$161,_xlfn.AGGREGATE(15,6,(ROW(Tickets!$F$2:$F$161)-ROW(Tickets!$F$2)+1)/(Tickets!$F$2:$F$161=$B$15),ROWS($A$23:A72))),"")</f>
        <v>3</v>
      </c>
      <c r="G72" s="2"/>
      <c r="H72" s="2"/>
      <c r="I72" s="2"/>
      <c r="J72" s="2"/>
      <c r="K72" s="2"/>
    </row>
  </sheetData>
  <mergeCells count="22">
    <mergeCell ref="A1:J1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I11:J11"/>
    <mergeCell ref="A10:B10"/>
    <mergeCell ref="C10:D10"/>
    <mergeCell ref="E10:F10"/>
    <mergeCell ref="G10:H10"/>
    <mergeCell ref="I10:J10"/>
    <mergeCell ref="A21:F21"/>
    <mergeCell ref="A11:B11"/>
    <mergeCell ref="C11:D11"/>
    <mergeCell ref="E11:F11"/>
    <mergeCell ref="G11:H11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'Team Members'!$A$2:$A$11</xm:f>
          </x14:formula1>
          <x14:formula2>
            <xm:f>0</xm:f>
          </x14:formula2>
          <xm:sqref>B15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M161"/>
  <sheetViews>
    <sheetView showGridLines="0" tabSelected="1" zoomScaleNormal="100" workbookViewId="0">
      <pane ySplit="1" topLeftCell="A2" activePane="bottomLeft" state="frozen"/>
      <selection pane="bottomLeft" activeCell="M12" sqref="M12"/>
    </sheetView>
  </sheetViews>
  <sheetFormatPr baseColWidth="10" defaultColWidth="8.6640625" defaultRowHeight="15" x14ac:dyDescent="0.2"/>
  <cols>
    <col min="1" max="2" width="13" customWidth="1"/>
    <col min="3" max="3" width="12" customWidth="1"/>
    <col min="4" max="4" width="25.5" customWidth="1"/>
    <col min="5" max="5" width="45" customWidth="1"/>
    <col min="6" max="6" width="18" customWidth="1"/>
    <col min="7" max="7" width="15" customWidth="1"/>
    <col min="8" max="8" width="13" customWidth="1"/>
    <col min="9" max="11" width="14" customWidth="1"/>
    <col min="12" max="12" width="16" customWidth="1"/>
    <col min="13" max="13" width="45" customWidth="1"/>
  </cols>
  <sheetData>
    <row r="1" spans="1:13" x14ac:dyDescent="0.2">
      <c r="A1" s="1" t="s">
        <v>26</v>
      </c>
      <c r="B1" s="1" t="s">
        <v>31</v>
      </c>
      <c r="C1" s="1" t="s">
        <v>27</v>
      </c>
      <c r="D1" s="1" t="s">
        <v>28</v>
      </c>
      <c r="E1" s="1" t="s">
        <v>29</v>
      </c>
      <c r="F1" s="1" t="s">
        <v>32</v>
      </c>
      <c r="G1" s="1" t="s">
        <v>19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 x14ac:dyDescent="0.2">
      <c r="A2" s="11" t="s">
        <v>6</v>
      </c>
      <c r="B2" s="11"/>
      <c r="C2" s="11" t="s">
        <v>39</v>
      </c>
      <c r="D2" s="11" t="s">
        <v>40</v>
      </c>
      <c r="E2" s="11" t="s">
        <v>41</v>
      </c>
      <c r="F2" s="11" t="s">
        <v>18</v>
      </c>
      <c r="G2" s="11" t="s">
        <v>12</v>
      </c>
      <c r="H2" s="11">
        <v>0</v>
      </c>
      <c r="I2" s="12"/>
      <c r="J2" s="12"/>
      <c r="K2" s="12"/>
      <c r="L2" s="12"/>
      <c r="M2" s="11" t="s">
        <v>43</v>
      </c>
    </row>
    <row r="3" spans="1:13" x14ac:dyDescent="0.2">
      <c r="A3" s="11" t="s">
        <v>44</v>
      </c>
      <c r="B3" s="11" t="s">
        <v>6</v>
      </c>
      <c r="C3" s="11" t="s">
        <v>45</v>
      </c>
      <c r="D3" s="11" t="s">
        <v>40</v>
      </c>
      <c r="E3" s="11" t="s">
        <v>46</v>
      </c>
      <c r="F3" s="11" t="s">
        <v>18</v>
      </c>
      <c r="G3" s="11" t="s">
        <v>12</v>
      </c>
      <c r="H3" s="11">
        <v>5</v>
      </c>
      <c r="I3" s="12"/>
      <c r="J3" s="12"/>
      <c r="K3" s="12"/>
      <c r="L3" s="12"/>
      <c r="M3" s="11" t="s">
        <v>47</v>
      </c>
    </row>
    <row r="4" spans="1:13" x14ac:dyDescent="0.2">
      <c r="A4" s="11" t="s">
        <v>48</v>
      </c>
      <c r="B4" s="11" t="s">
        <v>44</v>
      </c>
      <c r="C4" s="11" t="s">
        <v>49</v>
      </c>
      <c r="D4" s="11" t="s">
        <v>40</v>
      </c>
      <c r="E4" s="11" t="s">
        <v>50</v>
      </c>
      <c r="F4" s="11" t="s">
        <v>18</v>
      </c>
      <c r="G4" s="11" t="s">
        <v>12</v>
      </c>
      <c r="H4" s="11">
        <v>3</v>
      </c>
      <c r="I4" s="12"/>
      <c r="J4" s="12"/>
      <c r="K4" s="12"/>
      <c r="L4" s="12"/>
      <c r="M4" s="11" t="s">
        <v>51</v>
      </c>
    </row>
    <row r="5" spans="1:13" x14ac:dyDescent="0.2">
      <c r="A5" s="11" t="s">
        <v>52</v>
      </c>
      <c r="B5" s="11" t="s">
        <v>44</v>
      </c>
      <c r="C5" s="11" t="s">
        <v>49</v>
      </c>
      <c r="D5" s="11" t="s">
        <v>40</v>
      </c>
      <c r="E5" s="11" t="s">
        <v>53</v>
      </c>
      <c r="F5" s="11" t="s">
        <v>18</v>
      </c>
      <c r="G5" s="11" t="s">
        <v>12</v>
      </c>
      <c r="H5" s="11">
        <v>5</v>
      </c>
      <c r="I5" s="12"/>
      <c r="J5" s="12"/>
      <c r="K5" s="12"/>
      <c r="L5" s="12"/>
      <c r="M5" s="11" t="s">
        <v>54</v>
      </c>
    </row>
    <row r="6" spans="1:13" x14ac:dyDescent="0.2">
      <c r="A6" s="11" t="s">
        <v>55</v>
      </c>
      <c r="B6" s="11" t="s">
        <v>44</v>
      </c>
      <c r="C6" s="11" t="s">
        <v>49</v>
      </c>
      <c r="D6" s="11" t="s">
        <v>40</v>
      </c>
      <c r="E6" s="11" t="s">
        <v>56</v>
      </c>
      <c r="F6" s="11" t="s">
        <v>18</v>
      </c>
      <c r="G6" s="11" t="s">
        <v>12</v>
      </c>
      <c r="H6" s="11">
        <v>5</v>
      </c>
      <c r="I6" s="12"/>
      <c r="J6" s="12"/>
      <c r="K6" s="12"/>
      <c r="L6" s="12"/>
      <c r="M6" s="11" t="s">
        <v>57</v>
      </c>
    </row>
    <row r="7" spans="1:13" x14ac:dyDescent="0.2">
      <c r="A7" s="11" t="s">
        <v>58</v>
      </c>
      <c r="B7" s="11" t="s">
        <v>44</v>
      </c>
      <c r="C7" s="11" t="s">
        <v>59</v>
      </c>
      <c r="D7" s="11" t="s">
        <v>40</v>
      </c>
      <c r="E7" s="11" t="s">
        <v>60</v>
      </c>
      <c r="F7" s="11" t="s">
        <v>18</v>
      </c>
      <c r="G7" s="11" t="s">
        <v>10</v>
      </c>
      <c r="H7" s="11">
        <v>2</v>
      </c>
      <c r="I7" s="12"/>
      <c r="J7" s="12"/>
      <c r="K7" s="12"/>
      <c r="L7" s="12"/>
      <c r="M7" s="11" t="s">
        <v>61</v>
      </c>
    </row>
    <row r="8" spans="1:13" x14ac:dyDescent="0.2">
      <c r="A8" s="11" t="s">
        <v>62</v>
      </c>
      <c r="B8" s="11" t="s">
        <v>6</v>
      </c>
      <c r="C8" s="11" t="s">
        <v>45</v>
      </c>
      <c r="D8" s="11" t="s">
        <v>40</v>
      </c>
      <c r="E8" s="11" t="s">
        <v>63</v>
      </c>
      <c r="F8" s="11" t="s">
        <v>18</v>
      </c>
      <c r="G8" s="11" t="s">
        <v>10</v>
      </c>
      <c r="H8" s="11">
        <v>5</v>
      </c>
      <c r="I8" s="12"/>
      <c r="J8" s="12"/>
      <c r="K8" s="12"/>
      <c r="L8" s="12"/>
      <c r="M8" s="11" t="s">
        <v>509</v>
      </c>
    </row>
    <row r="9" spans="1:13" x14ac:dyDescent="0.2">
      <c r="A9" s="11" t="s">
        <v>64</v>
      </c>
      <c r="B9" s="11" t="s">
        <v>62</v>
      </c>
      <c r="C9" s="11" t="s">
        <v>49</v>
      </c>
      <c r="D9" s="11" t="s">
        <v>65</v>
      </c>
      <c r="E9" s="11" t="s">
        <v>66</v>
      </c>
      <c r="F9" s="11" t="s">
        <v>18</v>
      </c>
      <c r="G9" s="11" t="s">
        <v>10</v>
      </c>
      <c r="H9" s="11">
        <v>3</v>
      </c>
      <c r="I9" s="12"/>
      <c r="J9" s="12"/>
      <c r="K9" s="12"/>
      <c r="L9" s="12"/>
      <c r="M9" s="11" t="s">
        <v>67</v>
      </c>
    </row>
    <row r="10" spans="1:13" x14ac:dyDescent="0.2">
      <c r="A10" s="11" t="s">
        <v>68</v>
      </c>
      <c r="B10" s="11" t="s">
        <v>62</v>
      </c>
      <c r="C10" s="11" t="s">
        <v>49</v>
      </c>
      <c r="D10" s="11" t="s">
        <v>65</v>
      </c>
      <c r="E10" s="11" t="s">
        <v>69</v>
      </c>
      <c r="F10" s="11" t="s">
        <v>18</v>
      </c>
      <c r="G10" s="11" t="s">
        <v>10</v>
      </c>
      <c r="H10" s="11">
        <v>3</v>
      </c>
      <c r="I10" s="12"/>
      <c r="J10" s="12"/>
      <c r="K10" s="12"/>
      <c r="L10" s="12"/>
      <c r="M10" s="11" t="s">
        <v>70</v>
      </c>
    </row>
    <row r="11" spans="1:13" x14ac:dyDescent="0.2">
      <c r="A11" s="11" t="s">
        <v>71</v>
      </c>
      <c r="B11" s="11" t="s">
        <v>62</v>
      </c>
      <c r="C11" s="11" t="s">
        <v>49</v>
      </c>
      <c r="D11" s="11" t="s">
        <v>65</v>
      </c>
      <c r="E11" s="11" t="s">
        <v>72</v>
      </c>
      <c r="F11" s="11" t="s">
        <v>18</v>
      </c>
      <c r="G11" s="11" t="s">
        <v>10</v>
      </c>
      <c r="H11" s="11">
        <v>3</v>
      </c>
      <c r="I11" s="12"/>
      <c r="J11" s="12"/>
      <c r="K11" s="12"/>
      <c r="L11" s="12"/>
      <c r="M11" s="11" t="s">
        <v>73</v>
      </c>
    </row>
    <row r="12" spans="1:13" x14ac:dyDescent="0.2">
      <c r="A12" s="11" t="s">
        <v>74</v>
      </c>
      <c r="B12" s="11"/>
      <c r="C12" s="11" t="s">
        <v>39</v>
      </c>
      <c r="D12" s="11" t="s">
        <v>75</v>
      </c>
      <c r="E12" s="11" t="s">
        <v>76</v>
      </c>
      <c r="F12" s="11" t="s">
        <v>18</v>
      </c>
      <c r="G12" s="11" t="s">
        <v>8</v>
      </c>
      <c r="H12" s="11">
        <v>0</v>
      </c>
      <c r="I12" s="12"/>
      <c r="J12" s="12"/>
      <c r="K12" s="12"/>
      <c r="L12" s="12"/>
      <c r="M12" s="11" t="s">
        <v>510</v>
      </c>
    </row>
    <row r="13" spans="1:13" x14ac:dyDescent="0.2">
      <c r="A13" s="11" t="s">
        <v>77</v>
      </c>
      <c r="B13" s="11" t="s">
        <v>74</v>
      </c>
      <c r="C13" s="11" t="s">
        <v>45</v>
      </c>
      <c r="D13" s="11" t="s">
        <v>75</v>
      </c>
      <c r="E13" s="11" t="s">
        <v>78</v>
      </c>
      <c r="F13" s="11" t="s">
        <v>18</v>
      </c>
      <c r="G13" s="11" t="s">
        <v>8</v>
      </c>
      <c r="H13" s="11">
        <v>8</v>
      </c>
      <c r="I13" s="12"/>
      <c r="J13" s="12"/>
      <c r="K13" s="12"/>
      <c r="L13" s="12"/>
      <c r="M13" s="11" t="s">
        <v>79</v>
      </c>
    </row>
    <row r="14" spans="1:13" x14ac:dyDescent="0.2">
      <c r="A14" s="11" t="s">
        <v>80</v>
      </c>
      <c r="B14" s="11" t="s">
        <v>77</v>
      </c>
      <c r="C14" s="11" t="s">
        <v>49</v>
      </c>
      <c r="D14" s="11" t="s">
        <v>75</v>
      </c>
      <c r="E14" s="11" t="s">
        <v>81</v>
      </c>
      <c r="F14" s="11" t="s">
        <v>18</v>
      </c>
      <c r="G14" s="11" t="s">
        <v>8</v>
      </c>
      <c r="H14" s="11">
        <v>5</v>
      </c>
      <c r="I14" s="12"/>
      <c r="J14" s="12"/>
      <c r="K14" s="12"/>
      <c r="L14" s="12"/>
      <c r="M14" s="11" t="s">
        <v>82</v>
      </c>
    </row>
    <row r="15" spans="1:13" x14ac:dyDescent="0.2">
      <c r="A15" s="11" t="s">
        <v>83</v>
      </c>
      <c r="B15" s="11" t="s">
        <v>77</v>
      </c>
      <c r="C15" s="11" t="s">
        <v>49</v>
      </c>
      <c r="D15" s="11" t="s">
        <v>75</v>
      </c>
      <c r="E15" s="11" t="s">
        <v>84</v>
      </c>
      <c r="F15" s="11" t="s">
        <v>18</v>
      </c>
      <c r="G15" s="11" t="s">
        <v>8</v>
      </c>
      <c r="H15" s="11">
        <v>5</v>
      </c>
      <c r="I15" s="12"/>
      <c r="J15" s="12"/>
      <c r="K15" s="12"/>
      <c r="L15" s="12"/>
      <c r="M15" s="11" t="s">
        <v>85</v>
      </c>
    </row>
    <row r="16" spans="1:13" x14ac:dyDescent="0.2">
      <c r="A16" s="11" t="s">
        <v>86</v>
      </c>
      <c r="B16" s="11" t="s">
        <v>77</v>
      </c>
      <c r="C16" s="11" t="s">
        <v>49</v>
      </c>
      <c r="D16" s="11" t="s">
        <v>75</v>
      </c>
      <c r="E16" s="11" t="s">
        <v>87</v>
      </c>
      <c r="F16" s="11" t="s">
        <v>18</v>
      </c>
      <c r="G16" s="11" t="s">
        <v>8</v>
      </c>
      <c r="H16" s="11">
        <v>3</v>
      </c>
      <c r="I16" s="12"/>
      <c r="J16" s="12"/>
      <c r="K16" s="12"/>
      <c r="L16" s="12"/>
      <c r="M16" s="11" t="s">
        <v>88</v>
      </c>
    </row>
    <row r="17" spans="1:13" x14ac:dyDescent="0.2">
      <c r="A17" s="11" t="s">
        <v>89</v>
      </c>
      <c r="B17" s="11" t="s">
        <v>74</v>
      </c>
      <c r="C17" s="11" t="s">
        <v>45</v>
      </c>
      <c r="D17" s="11" t="s">
        <v>75</v>
      </c>
      <c r="E17" s="11" t="s">
        <v>511</v>
      </c>
      <c r="F17" s="11" t="s">
        <v>472</v>
      </c>
      <c r="G17" s="11" t="s">
        <v>8</v>
      </c>
      <c r="H17" s="11">
        <v>8</v>
      </c>
      <c r="I17" s="12"/>
      <c r="J17" s="12"/>
      <c r="K17" s="12"/>
      <c r="L17" s="12"/>
      <c r="M17" s="11" t="s">
        <v>512</v>
      </c>
    </row>
    <row r="18" spans="1:13" x14ac:dyDescent="0.2">
      <c r="A18" s="11" t="s">
        <v>90</v>
      </c>
      <c r="B18" s="11" t="s">
        <v>89</v>
      </c>
      <c r="C18" s="11" t="s">
        <v>49</v>
      </c>
      <c r="D18" s="11" t="s">
        <v>75</v>
      </c>
      <c r="E18" s="11" t="s">
        <v>513</v>
      </c>
      <c r="F18" s="11" t="s">
        <v>472</v>
      </c>
      <c r="G18" s="11" t="s">
        <v>8</v>
      </c>
      <c r="H18" s="11">
        <v>5</v>
      </c>
      <c r="I18" s="12"/>
      <c r="J18" s="12"/>
      <c r="K18" s="12"/>
      <c r="L18" s="12"/>
      <c r="M18" s="11" t="s">
        <v>82</v>
      </c>
    </row>
    <row r="19" spans="1:13" x14ac:dyDescent="0.2">
      <c r="A19" s="11" t="s">
        <v>91</v>
      </c>
      <c r="B19" s="11" t="s">
        <v>89</v>
      </c>
      <c r="C19" s="11" t="s">
        <v>49</v>
      </c>
      <c r="D19" s="11" t="s">
        <v>75</v>
      </c>
      <c r="E19" s="11" t="s">
        <v>514</v>
      </c>
      <c r="F19" s="11" t="s">
        <v>472</v>
      </c>
      <c r="G19" s="11" t="s">
        <v>8</v>
      </c>
      <c r="H19" s="11">
        <v>5</v>
      </c>
      <c r="I19" s="12"/>
      <c r="J19" s="12"/>
      <c r="K19" s="12"/>
      <c r="L19" s="12"/>
      <c r="M19" s="11" t="s">
        <v>515</v>
      </c>
    </row>
    <row r="20" spans="1:13" x14ac:dyDescent="0.2">
      <c r="A20" s="11" t="s">
        <v>92</v>
      </c>
      <c r="B20" s="11" t="s">
        <v>89</v>
      </c>
      <c r="C20" s="11" t="s">
        <v>49</v>
      </c>
      <c r="D20" s="11" t="s">
        <v>75</v>
      </c>
      <c r="E20" s="11" t="s">
        <v>516</v>
      </c>
      <c r="F20" s="11" t="s">
        <v>472</v>
      </c>
      <c r="G20" s="11" t="s">
        <v>8</v>
      </c>
      <c r="H20" s="11">
        <v>3</v>
      </c>
      <c r="I20" s="12"/>
      <c r="J20" s="12"/>
      <c r="K20" s="12"/>
      <c r="L20" s="12"/>
      <c r="M20" s="11" t="s">
        <v>88</v>
      </c>
    </row>
    <row r="21" spans="1:13" x14ac:dyDescent="0.2">
      <c r="A21" s="11" t="s">
        <v>93</v>
      </c>
      <c r="B21" s="11" t="s">
        <v>74</v>
      </c>
      <c r="C21" s="11" t="s">
        <v>45</v>
      </c>
      <c r="D21" s="11" t="s">
        <v>75</v>
      </c>
      <c r="E21" s="11" t="s">
        <v>517</v>
      </c>
      <c r="F21" s="11" t="s">
        <v>18</v>
      </c>
      <c r="G21" s="11" t="s">
        <v>8</v>
      </c>
      <c r="H21" s="11">
        <v>8</v>
      </c>
      <c r="I21" s="12"/>
      <c r="J21" s="12"/>
      <c r="K21" s="12"/>
      <c r="L21" s="12"/>
      <c r="M21" s="11" t="s">
        <v>94</v>
      </c>
    </row>
    <row r="22" spans="1:13" x14ac:dyDescent="0.2">
      <c r="A22" s="11" t="s">
        <v>95</v>
      </c>
      <c r="B22" s="11" t="s">
        <v>93</v>
      </c>
      <c r="C22" s="11" t="s">
        <v>49</v>
      </c>
      <c r="D22" s="11" t="s">
        <v>75</v>
      </c>
      <c r="E22" s="11" t="s">
        <v>96</v>
      </c>
      <c r="F22" s="11" t="s">
        <v>18</v>
      </c>
      <c r="G22" s="11" t="s">
        <v>8</v>
      </c>
      <c r="H22" s="11">
        <v>3</v>
      </c>
      <c r="I22" s="12"/>
      <c r="J22" s="12"/>
      <c r="K22" s="12"/>
      <c r="L22" s="12"/>
      <c r="M22" s="11" t="s">
        <v>97</v>
      </c>
    </row>
    <row r="23" spans="1:13" ht="16" customHeight="1" x14ac:dyDescent="0.2">
      <c r="A23" s="11" t="s">
        <v>98</v>
      </c>
      <c r="B23" s="11" t="s">
        <v>93</v>
      </c>
      <c r="C23" s="11" t="s">
        <v>49</v>
      </c>
      <c r="D23" s="11" t="s">
        <v>75</v>
      </c>
      <c r="E23" s="11" t="s">
        <v>99</v>
      </c>
      <c r="F23" s="11" t="s">
        <v>18</v>
      </c>
      <c r="G23" s="11" t="s">
        <v>8</v>
      </c>
      <c r="H23" s="11">
        <v>5</v>
      </c>
      <c r="I23" s="12"/>
      <c r="J23" s="12"/>
      <c r="K23" s="12"/>
      <c r="L23" s="12"/>
      <c r="M23" s="11" t="s">
        <v>100</v>
      </c>
    </row>
    <row r="24" spans="1:13" ht="30" x14ac:dyDescent="0.2">
      <c r="A24" s="11" t="s">
        <v>101</v>
      </c>
      <c r="B24" s="11" t="s">
        <v>93</v>
      </c>
      <c r="C24" s="11" t="s">
        <v>49</v>
      </c>
      <c r="D24" s="11" t="s">
        <v>75</v>
      </c>
      <c r="E24" s="11" t="s">
        <v>102</v>
      </c>
      <c r="F24" s="11" t="s">
        <v>472</v>
      </c>
      <c r="G24" s="11" t="s">
        <v>8</v>
      </c>
      <c r="H24" s="11">
        <v>5</v>
      </c>
      <c r="I24" s="12"/>
      <c r="J24" s="12"/>
      <c r="K24" s="12"/>
      <c r="L24" s="12"/>
      <c r="M24" s="11" t="s">
        <v>518</v>
      </c>
    </row>
    <row r="25" spans="1:13" x14ac:dyDescent="0.2">
      <c r="A25" s="11" t="s">
        <v>103</v>
      </c>
      <c r="B25" s="11" t="s">
        <v>74</v>
      </c>
      <c r="C25" s="11" t="s">
        <v>45</v>
      </c>
      <c r="D25" s="11" t="s">
        <v>75</v>
      </c>
      <c r="E25" s="11" t="s">
        <v>104</v>
      </c>
      <c r="F25" s="11" t="s">
        <v>42</v>
      </c>
      <c r="G25" s="11" t="s">
        <v>8</v>
      </c>
      <c r="H25" s="11">
        <v>5</v>
      </c>
      <c r="I25" s="12"/>
      <c r="J25" s="12"/>
      <c r="K25" s="12"/>
      <c r="L25" s="12"/>
      <c r="M25" s="11" t="s">
        <v>105</v>
      </c>
    </row>
    <row r="26" spans="1:13" x14ac:dyDescent="0.2">
      <c r="A26" s="11" t="s">
        <v>106</v>
      </c>
      <c r="B26" s="11" t="s">
        <v>103</v>
      </c>
      <c r="C26" s="11" t="s">
        <v>49</v>
      </c>
      <c r="D26" s="11" t="s">
        <v>75</v>
      </c>
      <c r="E26" s="11" t="s">
        <v>107</v>
      </c>
      <c r="F26" s="11" t="s">
        <v>42</v>
      </c>
      <c r="G26" s="11" t="s">
        <v>8</v>
      </c>
      <c r="H26" s="11">
        <v>3</v>
      </c>
      <c r="I26" s="12"/>
      <c r="J26" s="12"/>
      <c r="K26" s="12"/>
      <c r="L26" s="12"/>
      <c r="M26" s="11" t="s">
        <v>108</v>
      </c>
    </row>
    <row r="27" spans="1:13" x14ac:dyDescent="0.2">
      <c r="A27" s="11" t="s">
        <v>109</v>
      </c>
      <c r="B27" s="11" t="s">
        <v>103</v>
      </c>
      <c r="C27" s="11" t="s">
        <v>49</v>
      </c>
      <c r="D27" s="11" t="s">
        <v>75</v>
      </c>
      <c r="E27" s="11" t="s">
        <v>110</v>
      </c>
      <c r="F27" s="11" t="s">
        <v>42</v>
      </c>
      <c r="G27" s="11" t="s">
        <v>8</v>
      </c>
      <c r="H27" s="11">
        <v>2</v>
      </c>
      <c r="I27" s="12"/>
      <c r="J27" s="12"/>
      <c r="K27" s="12"/>
      <c r="L27" s="12"/>
      <c r="M27" s="11" t="s">
        <v>111</v>
      </c>
    </row>
    <row r="28" spans="1:13" x14ac:dyDescent="0.2">
      <c r="A28" s="11" t="s">
        <v>112</v>
      </c>
      <c r="B28" s="11"/>
      <c r="C28" s="11" t="s">
        <v>39</v>
      </c>
      <c r="D28" s="11" t="s">
        <v>113</v>
      </c>
      <c r="E28" s="11" t="s">
        <v>114</v>
      </c>
      <c r="F28" s="11" t="s">
        <v>42</v>
      </c>
      <c r="G28" s="11" t="s">
        <v>8</v>
      </c>
      <c r="H28" s="11">
        <v>0</v>
      </c>
      <c r="I28" s="12"/>
      <c r="J28" s="12"/>
      <c r="K28" s="12"/>
      <c r="L28" s="12"/>
      <c r="M28" s="11" t="s">
        <v>115</v>
      </c>
    </row>
    <row r="29" spans="1:13" x14ac:dyDescent="0.2">
      <c r="A29" s="11" t="s">
        <v>116</v>
      </c>
      <c r="B29" s="11" t="s">
        <v>112</v>
      </c>
      <c r="C29" s="11" t="s">
        <v>45</v>
      </c>
      <c r="D29" s="11" t="s">
        <v>117</v>
      </c>
      <c r="E29" s="11" t="s">
        <v>118</v>
      </c>
      <c r="F29" s="11" t="s">
        <v>42</v>
      </c>
      <c r="G29" s="11" t="s">
        <v>8</v>
      </c>
      <c r="H29" s="11">
        <v>8</v>
      </c>
      <c r="I29" s="12"/>
      <c r="J29" s="12"/>
      <c r="K29" s="12"/>
      <c r="L29" s="12"/>
      <c r="M29" s="11" t="s">
        <v>119</v>
      </c>
    </row>
    <row r="30" spans="1:13" x14ac:dyDescent="0.2">
      <c r="A30" s="11" t="s">
        <v>120</v>
      </c>
      <c r="B30" s="11" t="s">
        <v>116</v>
      </c>
      <c r="C30" s="11" t="s">
        <v>49</v>
      </c>
      <c r="D30" s="11" t="s">
        <v>117</v>
      </c>
      <c r="E30" s="11" t="s">
        <v>121</v>
      </c>
      <c r="F30" s="11" t="s">
        <v>42</v>
      </c>
      <c r="G30" s="11" t="s">
        <v>8</v>
      </c>
      <c r="H30" s="11">
        <v>5</v>
      </c>
      <c r="I30" s="12"/>
      <c r="J30" s="12"/>
      <c r="K30" s="12"/>
      <c r="L30" s="12"/>
      <c r="M30" s="11" t="s">
        <v>122</v>
      </c>
    </row>
    <row r="31" spans="1:13" x14ac:dyDescent="0.2">
      <c r="A31" s="11" t="s">
        <v>123</v>
      </c>
      <c r="B31" s="11" t="s">
        <v>116</v>
      </c>
      <c r="C31" s="11" t="s">
        <v>49</v>
      </c>
      <c r="D31" s="11" t="s">
        <v>117</v>
      </c>
      <c r="E31" s="11" t="s">
        <v>124</v>
      </c>
      <c r="F31" s="11" t="s">
        <v>42</v>
      </c>
      <c r="G31" s="11" t="s">
        <v>8</v>
      </c>
      <c r="H31" s="11">
        <v>5</v>
      </c>
      <c r="I31" s="12"/>
      <c r="J31" s="12"/>
      <c r="K31" s="12"/>
      <c r="L31" s="12"/>
      <c r="M31" s="11" t="s">
        <v>125</v>
      </c>
    </row>
    <row r="32" spans="1:13" x14ac:dyDescent="0.2">
      <c r="A32" s="11" t="s">
        <v>126</v>
      </c>
      <c r="B32" s="11" t="s">
        <v>116</v>
      </c>
      <c r="C32" s="11" t="s">
        <v>49</v>
      </c>
      <c r="D32" s="11" t="s">
        <v>117</v>
      </c>
      <c r="E32" s="11" t="s">
        <v>127</v>
      </c>
      <c r="F32" s="11" t="s">
        <v>42</v>
      </c>
      <c r="G32" s="11" t="s">
        <v>8</v>
      </c>
      <c r="H32" s="11">
        <v>5</v>
      </c>
      <c r="I32" s="12"/>
      <c r="J32" s="12"/>
      <c r="K32" s="12"/>
      <c r="L32" s="12"/>
      <c r="M32" s="11" t="s">
        <v>128</v>
      </c>
    </row>
    <row r="33" spans="1:13" x14ac:dyDescent="0.2">
      <c r="A33" s="11" t="s">
        <v>129</v>
      </c>
      <c r="B33" s="11" t="s">
        <v>112</v>
      </c>
      <c r="C33" s="11" t="s">
        <v>45</v>
      </c>
      <c r="D33" s="11" t="s">
        <v>130</v>
      </c>
      <c r="E33" s="11" t="s">
        <v>131</v>
      </c>
      <c r="F33" s="11" t="s">
        <v>42</v>
      </c>
      <c r="G33" s="11" t="s">
        <v>8</v>
      </c>
      <c r="H33" s="11">
        <v>8</v>
      </c>
      <c r="I33" s="12"/>
      <c r="J33" s="12"/>
      <c r="K33" s="12"/>
      <c r="L33" s="12"/>
      <c r="M33" s="11" t="s">
        <v>132</v>
      </c>
    </row>
    <row r="34" spans="1:13" x14ac:dyDescent="0.2">
      <c r="A34" s="11" t="s">
        <v>133</v>
      </c>
      <c r="B34" s="11" t="s">
        <v>129</v>
      </c>
      <c r="C34" s="11" t="s">
        <v>49</v>
      </c>
      <c r="D34" s="11" t="s">
        <v>130</v>
      </c>
      <c r="E34" s="11" t="s">
        <v>134</v>
      </c>
      <c r="F34" s="11" t="s">
        <v>42</v>
      </c>
      <c r="G34" s="11" t="s">
        <v>8</v>
      </c>
      <c r="H34" s="11">
        <v>3</v>
      </c>
      <c r="I34" s="12"/>
      <c r="J34" s="12"/>
      <c r="K34" s="12"/>
      <c r="L34" s="12"/>
      <c r="M34" s="11" t="s">
        <v>135</v>
      </c>
    </row>
    <row r="35" spans="1:13" x14ac:dyDescent="0.2">
      <c r="A35" s="11" t="s">
        <v>136</v>
      </c>
      <c r="B35" s="11" t="s">
        <v>129</v>
      </c>
      <c r="C35" s="11" t="s">
        <v>49</v>
      </c>
      <c r="D35" s="11" t="s">
        <v>130</v>
      </c>
      <c r="E35" s="11" t="s">
        <v>137</v>
      </c>
      <c r="F35" s="11" t="s">
        <v>42</v>
      </c>
      <c r="G35" s="11" t="s">
        <v>8</v>
      </c>
      <c r="H35" s="11">
        <v>3</v>
      </c>
      <c r="I35" s="12"/>
      <c r="J35" s="12"/>
      <c r="K35" s="12"/>
      <c r="L35" s="12"/>
      <c r="M35" s="11" t="s">
        <v>135</v>
      </c>
    </row>
    <row r="36" spans="1:13" x14ac:dyDescent="0.2">
      <c r="A36" s="11" t="s">
        <v>138</v>
      </c>
      <c r="B36" s="11" t="s">
        <v>129</v>
      </c>
      <c r="C36" s="11" t="s">
        <v>49</v>
      </c>
      <c r="D36" s="11" t="s">
        <v>130</v>
      </c>
      <c r="E36" s="11" t="s">
        <v>519</v>
      </c>
      <c r="F36" s="11" t="s">
        <v>42</v>
      </c>
      <c r="G36" s="11" t="s">
        <v>8</v>
      </c>
      <c r="H36" s="11">
        <v>3</v>
      </c>
      <c r="I36" s="12"/>
      <c r="J36" s="12"/>
      <c r="K36" s="12"/>
      <c r="L36" s="12"/>
      <c r="M36" s="11" t="s">
        <v>135</v>
      </c>
    </row>
    <row r="37" spans="1:13" x14ac:dyDescent="0.2">
      <c r="A37" s="11" t="s">
        <v>139</v>
      </c>
      <c r="B37" s="11" t="s">
        <v>129</v>
      </c>
      <c r="C37" s="11" t="s">
        <v>49</v>
      </c>
      <c r="D37" s="11" t="s">
        <v>130</v>
      </c>
      <c r="E37" s="11" t="s">
        <v>520</v>
      </c>
      <c r="F37" s="11" t="s">
        <v>42</v>
      </c>
      <c r="G37" s="11" t="s">
        <v>8</v>
      </c>
      <c r="H37" s="11">
        <v>3</v>
      </c>
      <c r="I37" s="12"/>
      <c r="J37" s="12"/>
      <c r="K37" s="12"/>
      <c r="L37" s="12"/>
      <c r="M37" s="11" t="s">
        <v>135</v>
      </c>
    </row>
    <row r="38" spans="1:13" x14ac:dyDescent="0.2">
      <c r="A38" s="11" t="s">
        <v>140</v>
      </c>
      <c r="B38" s="11" t="s">
        <v>129</v>
      </c>
      <c r="C38" s="11" t="s">
        <v>49</v>
      </c>
      <c r="D38" s="11" t="s">
        <v>130</v>
      </c>
      <c r="E38" s="11" t="s">
        <v>141</v>
      </c>
      <c r="F38" s="11" t="s">
        <v>42</v>
      </c>
      <c r="G38" s="11" t="s">
        <v>8</v>
      </c>
      <c r="H38" s="11">
        <v>3</v>
      </c>
      <c r="I38" s="12"/>
      <c r="J38" s="12"/>
      <c r="K38" s="12"/>
      <c r="L38" s="12"/>
      <c r="M38" s="11" t="s">
        <v>142</v>
      </c>
    </row>
    <row r="39" spans="1:13" x14ac:dyDescent="0.2">
      <c r="A39" s="11" t="s">
        <v>143</v>
      </c>
      <c r="B39" s="11"/>
      <c r="C39" s="11" t="s">
        <v>39</v>
      </c>
      <c r="D39" s="11" t="s">
        <v>144</v>
      </c>
      <c r="E39" s="11" t="s">
        <v>145</v>
      </c>
      <c r="F39" s="11" t="s">
        <v>42</v>
      </c>
      <c r="G39" s="11" t="s">
        <v>8</v>
      </c>
      <c r="H39" s="11">
        <v>0</v>
      </c>
      <c r="I39" s="12"/>
      <c r="J39" s="12"/>
      <c r="K39" s="12"/>
      <c r="L39" s="12"/>
      <c r="M39" s="11" t="s">
        <v>146</v>
      </c>
    </row>
    <row r="40" spans="1:13" x14ac:dyDescent="0.2">
      <c r="A40" s="11" t="s">
        <v>147</v>
      </c>
      <c r="B40" s="11" t="s">
        <v>143</v>
      </c>
      <c r="C40" s="11" t="s">
        <v>45</v>
      </c>
      <c r="D40" s="11" t="s">
        <v>144</v>
      </c>
      <c r="E40" s="11" t="s">
        <v>148</v>
      </c>
      <c r="F40" s="11" t="s">
        <v>42</v>
      </c>
      <c r="G40" s="11" t="s">
        <v>8</v>
      </c>
      <c r="H40" s="11">
        <v>8</v>
      </c>
      <c r="I40" s="12"/>
      <c r="J40" s="12"/>
      <c r="K40" s="12"/>
      <c r="L40" s="12"/>
      <c r="M40" s="11" t="s">
        <v>149</v>
      </c>
    </row>
    <row r="41" spans="1:13" x14ac:dyDescent="0.2">
      <c r="A41" s="11" t="s">
        <v>150</v>
      </c>
      <c r="B41" s="11" t="s">
        <v>147</v>
      </c>
      <c r="C41" s="11" t="s">
        <v>49</v>
      </c>
      <c r="D41" s="11" t="s">
        <v>144</v>
      </c>
      <c r="E41" s="11" t="s">
        <v>151</v>
      </c>
      <c r="F41" s="11" t="s">
        <v>42</v>
      </c>
      <c r="G41" s="11" t="s">
        <v>8</v>
      </c>
      <c r="H41" s="11">
        <v>5</v>
      </c>
      <c r="I41" s="12"/>
      <c r="J41" s="12"/>
      <c r="K41" s="12"/>
      <c r="L41" s="12"/>
      <c r="M41" s="11" t="s">
        <v>152</v>
      </c>
    </row>
    <row r="42" spans="1:13" x14ac:dyDescent="0.2">
      <c r="A42" s="11" t="s">
        <v>153</v>
      </c>
      <c r="B42" s="11" t="s">
        <v>147</v>
      </c>
      <c r="C42" s="11" t="s">
        <v>49</v>
      </c>
      <c r="D42" s="11" t="s">
        <v>144</v>
      </c>
      <c r="E42" s="11" t="s">
        <v>154</v>
      </c>
      <c r="F42" s="11" t="s">
        <v>42</v>
      </c>
      <c r="G42" s="11" t="s">
        <v>8</v>
      </c>
      <c r="H42" s="11">
        <v>3</v>
      </c>
      <c r="I42" s="12"/>
      <c r="J42" s="12"/>
      <c r="K42" s="12"/>
      <c r="L42" s="12"/>
      <c r="M42" s="11" t="s">
        <v>155</v>
      </c>
    </row>
    <row r="43" spans="1:13" x14ac:dyDescent="0.2">
      <c r="A43" s="11" t="s">
        <v>156</v>
      </c>
      <c r="B43" s="11" t="s">
        <v>147</v>
      </c>
      <c r="C43" s="11" t="s">
        <v>49</v>
      </c>
      <c r="D43" s="11" t="s">
        <v>144</v>
      </c>
      <c r="E43" s="11" t="s">
        <v>521</v>
      </c>
      <c r="F43" s="11" t="s">
        <v>42</v>
      </c>
      <c r="G43" s="11" t="s">
        <v>8</v>
      </c>
      <c r="H43" s="11">
        <v>3</v>
      </c>
      <c r="I43" s="12"/>
      <c r="J43" s="12"/>
      <c r="K43" s="12"/>
      <c r="L43" s="12"/>
      <c r="M43" s="11" t="s">
        <v>157</v>
      </c>
    </row>
    <row r="44" spans="1:13" x14ac:dyDescent="0.2">
      <c r="A44" s="11" t="s">
        <v>158</v>
      </c>
      <c r="B44" s="11" t="s">
        <v>147</v>
      </c>
      <c r="C44" s="11" t="s">
        <v>49</v>
      </c>
      <c r="D44" s="11" t="s">
        <v>144</v>
      </c>
      <c r="E44" s="11" t="s">
        <v>159</v>
      </c>
      <c r="F44" s="11" t="s">
        <v>42</v>
      </c>
      <c r="G44" s="11" t="s">
        <v>8</v>
      </c>
      <c r="H44" s="11">
        <v>3</v>
      </c>
      <c r="I44" s="12"/>
      <c r="J44" s="12"/>
      <c r="K44" s="12"/>
      <c r="L44" s="12"/>
      <c r="M44" s="11" t="s">
        <v>160</v>
      </c>
    </row>
    <row r="45" spans="1:13" x14ac:dyDescent="0.2">
      <c r="A45" s="11" t="s">
        <v>161</v>
      </c>
      <c r="B45" s="11" t="s">
        <v>143</v>
      </c>
      <c r="C45" s="11" t="s">
        <v>45</v>
      </c>
      <c r="D45" s="11" t="s">
        <v>144</v>
      </c>
      <c r="E45" s="11" t="s">
        <v>162</v>
      </c>
      <c r="F45" s="11" t="s">
        <v>42</v>
      </c>
      <c r="G45" s="11" t="s">
        <v>8</v>
      </c>
      <c r="H45" s="11">
        <v>8</v>
      </c>
      <c r="I45" s="12"/>
      <c r="J45" s="12"/>
      <c r="K45" s="12"/>
      <c r="L45" s="12"/>
      <c r="M45" s="11" t="s">
        <v>163</v>
      </c>
    </row>
    <row r="46" spans="1:13" x14ac:dyDescent="0.2">
      <c r="A46" s="11" t="s">
        <v>164</v>
      </c>
      <c r="B46" s="11" t="s">
        <v>161</v>
      </c>
      <c r="C46" s="11" t="s">
        <v>49</v>
      </c>
      <c r="D46" s="11" t="s">
        <v>144</v>
      </c>
      <c r="E46" s="11" t="s">
        <v>165</v>
      </c>
      <c r="F46" s="11" t="s">
        <v>42</v>
      </c>
      <c r="G46" s="11" t="s">
        <v>8</v>
      </c>
      <c r="H46" s="11">
        <v>5</v>
      </c>
      <c r="I46" s="12"/>
      <c r="J46" s="12"/>
      <c r="K46" s="12"/>
      <c r="L46" s="12"/>
      <c r="M46" s="11" t="s">
        <v>166</v>
      </c>
    </row>
    <row r="47" spans="1:13" x14ac:dyDescent="0.2">
      <c r="A47" s="11" t="s">
        <v>167</v>
      </c>
      <c r="B47" s="11" t="s">
        <v>161</v>
      </c>
      <c r="C47" s="11" t="s">
        <v>49</v>
      </c>
      <c r="D47" s="11" t="s">
        <v>144</v>
      </c>
      <c r="E47" s="11" t="s">
        <v>168</v>
      </c>
      <c r="F47" s="11" t="s">
        <v>42</v>
      </c>
      <c r="G47" s="11" t="s">
        <v>8</v>
      </c>
      <c r="H47" s="11">
        <v>5</v>
      </c>
      <c r="I47" s="12"/>
      <c r="J47" s="12"/>
      <c r="K47" s="12"/>
      <c r="L47" s="12"/>
      <c r="M47" s="11" t="s">
        <v>169</v>
      </c>
    </row>
    <row r="48" spans="1:13" x14ac:dyDescent="0.2">
      <c r="A48" s="11" t="s">
        <v>170</v>
      </c>
      <c r="B48" s="11" t="s">
        <v>161</v>
      </c>
      <c r="C48" s="11" t="s">
        <v>49</v>
      </c>
      <c r="D48" s="11" t="s">
        <v>144</v>
      </c>
      <c r="E48" s="11" t="s">
        <v>171</v>
      </c>
      <c r="F48" s="11" t="s">
        <v>42</v>
      </c>
      <c r="G48" s="11" t="s">
        <v>8</v>
      </c>
      <c r="H48" s="11">
        <v>3</v>
      </c>
      <c r="I48" s="12"/>
      <c r="J48" s="12"/>
      <c r="K48" s="12"/>
      <c r="L48" s="12"/>
      <c r="M48" s="11" t="s">
        <v>172</v>
      </c>
    </row>
    <row r="49" spans="1:13" x14ac:dyDescent="0.2">
      <c r="A49" s="11" t="s">
        <v>173</v>
      </c>
      <c r="B49" s="11" t="s">
        <v>143</v>
      </c>
      <c r="C49" s="11" t="s">
        <v>45</v>
      </c>
      <c r="D49" s="11" t="s">
        <v>144</v>
      </c>
      <c r="E49" s="11" t="s">
        <v>174</v>
      </c>
      <c r="F49" s="11" t="s">
        <v>42</v>
      </c>
      <c r="G49" s="11" t="s">
        <v>8</v>
      </c>
      <c r="H49" s="11">
        <v>5</v>
      </c>
      <c r="I49" s="12"/>
      <c r="J49" s="12"/>
      <c r="K49" s="12"/>
      <c r="L49" s="12"/>
      <c r="M49" s="11" t="s">
        <v>175</v>
      </c>
    </row>
    <row r="50" spans="1:13" x14ac:dyDescent="0.2">
      <c r="A50" s="11" t="s">
        <v>176</v>
      </c>
      <c r="B50" s="11" t="s">
        <v>173</v>
      </c>
      <c r="C50" s="11" t="s">
        <v>49</v>
      </c>
      <c r="D50" s="11" t="s">
        <v>144</v>
      </c>
      <c r="E50" s="11" t="s">
        <v>177</v>
      </c>
      <c r="F50" s="11" t="s">
        <v>42</v>
      </c>
      <c r="G50" s="11" t="s">
        <v>8</v>
      </c>
      <c r="H50" s="11">
        <v>3</v>
      </c>
      <c r="I50" s="12"/>
      <c r="J50" s="12"/>
      <c r="K50" s="12"/>
      <c r="L50" s="12"/>
      <c r="M50" s="11" t="s">
        <v>178</v>
      </c>
    </row>
    <row r="51" spans="1:13" x14ac:dyDescent="0.2">
      <c r="A51" s="11" t="s">
        <v>179</v>
      </c>
      <c r="B51" s="11" t="s">
        <v>173</v>
      </c>
      <c r="C51" s="11" t="s">
        <v>49</v>
      </c>
      <c r="D51" s="11" t="s">
        <v>144</v>
      </c>
      <c r="E51" s="11" t="s">
        <v>180</v>
      </c>
      <c r="F51" s="11" t="s">
        <v>42</v>
      </c>
      <c r="G51" s="11" t="s">
        <v>8</v>
      </c>
      <c r="H51" s="11">
        <v>5</v>
      </c>
      <c r="I51" s="12"/>
      <c r="J51" s="12"/>
      <c r="K51" s="12"/>
      <c r="L51" s="12"/>
      <c r="M51" s="11" t="s">
        <v>181</v>
      </c>
    </row>
    <row r="52" spans="1:13" x14ac:dyDescent="0.2">
      <c r="A52" s="11" t="s">
        <v>182</v>
      </c>
      <c r="B52" s="11" t="s">
        <v>143</v>
      </c>
      <c r="C52" s="11" t="s">
        <v>45</v>
      </c>
      <c r="D52" s="11" t="s">
        <v>144</v>
      </c>
      <c r="E52" s="11" t="s">
        <v>183</v>
      </c>
      <c r="F52" s="11" t="s">
        <v>42</v>
      </c>
      <c r="G52" s="11" t="s">
        <v>8</v>
      </c>
      <c r="H52" s="11">
        <v>5</v>
      </c>
      <c r="I52" s="12"/>
      <c r="J52" s="12"/>
      <c r="K52" s="12"/>
      <c r="L52" s="12"/>
      <c r="M52" s="11" t="s">
        <v>184</v>
      </c>
    </row>
    <row r="53" spans="1:13" x14ac:dyDescent="0.2">
      <c r="A53" s="11" t="s">
        <v>185</v>
      </c>
      <c r="B53" s="11" t="s">
        <v>182</v>
      </c>
      <c r="C53" s="11" t="s">
        <v>49</v>
      </c>
      <c r="D53" s="11" t="s">
        <v>144</v>
      </c>
      <c r="E53" s="11" t="s">
        <v>186</v>
      </c>
      <c r="F53" s="11" t="s">
        <v>42</v>
      </c>
      <c r="G53" s="11" t="s">
        <v>8</v>
      </c>
      <c r="H53" s="11">
        <v>2</v>
      </c>
      <c r="I53" s="12"/>
      <c r="J53" s="12"/>
      <c r="K53" s="12"/>
      <c r="L53" s="12"/>
      <c r="M53" s="11" t="s">
        <v>187</v>
      </c>
    </row>
    <row r="54" spans="1:13" x14ac:dyDescent="0.2">
      <c r="A54" s="11" t="s">
        <v>188</v>
      </c>
      <c r="B54" s="11" t="s">
        <v>182</v>
      </c>
      <c r="C54" s="11" t="s">
        <v>49</v>
      </c>
      <c r="D54" s="11" t="s">
        <v>144</v>
      </c>
      <c r="E54" s="11" t="s">
        <v>189</v>
      </c>
      <c r="F54" s="11" t="s">
        <v>42</v>
      </c>
      <c r="G54" s="11" t="s">
        <v>8</v>
      </c>
      <c r="H54" s="11">
        <v>3</v>
      </c>
      <c r="I54" s="12"/>
      <c r="J54" s="12"/>
      <c r="K54" s="12"/>
      <c r="L54" s="12"/>
      <c r="M54" s="11" t="s">
        <v>190</v>
      </c>
    </row>
    <row r="55" spans="1:13" x14ac:dyDescent="0.2">
      <c r="A55" s="11" t="s">
        <v>191</v>
      </c>
      <c r="B55" s="11" t="s">
        <v>143</v>
      </c>
      <c r="C55" s="11" t="s">
        <v>45</v>
      </c>
      <c r="D55" s="11" t="s">
        <v>144</v>
      </c>
      <c r="E55" s="11" t="s">
        <v>522</v>
      </c>
      <c r="F55" s="11" t="s">
        <v>42</v>
      </c>
      <c r="G55" s="11" t="s">
        <v>8</v>
      </c>
      <c r="H55" s="11">
        <v>8</v>
      </c>
      <c r="I55" s="12"/>
      <c r="J55" s="12"/>
      <c r="K55" s="12"/>
      <c r="L55" s="12"/>
      <c r="M55" s="11" t="s">
        <v>192</v>
      </c>
    </row>
    <row r="56" spans="1:13" x14ac:dyDescent="0.2">
      <c r="A56" s="11" t="s">
        <v>193</v>
      </c>
      <c r="B56" s="11" t="s">
        <v>191</v>
      </c>
      <c r="C56" s="11" t="s">
        <v>49</v>
      </c>
      <c r="D56" s="11" t="s">
        <v>144</v>
      </c>
      <c r="E56" s="11" t="s">
        <v>523</v>
      </c>
      <c r="F56" s="11" t="s">
        <v>42</v>
      </c>
      <c r="G56" s="11" t="s">
        <v>8</v>
      </c>
      <c r="H56" s="11">
        <v>5</v>
      </c>
      <c r="I56" s="12"/>
      <c r="J56" s="12"/>
      <c r="K56" s="12"/>
      <c r="L56" s="12"/>
      <c r="M56" s="11" t="s">
        <v>194</v>
      </c>
    </row>
    <row r="57" spans="1:13" x14ac:dyDescent="0.2">
      <c r="A57" s="11" t="s">
        <v>195</v>
      </c>
      <c r="B57" s="11" t="s">
        <v>191</v>
      </c>
      <c r="C57" s="11" t="s">
        <v>49</v>
      </c>
      <c r="D57" s="11" t="s">
        <v>144</v>
      </c>
      <c r="E57" s="11" t="s">
        <v>196</v>
      </c>
      <c r="F57" s="11" t="s">
        <v>42</v>
      </c>
      <c r="G57" s="11" t="s">
        <v>8</v>
      </c>
      <c r="H57" s="11">
        <v>3</v>
      </c>
      <c r="I57" s="12"/>
      <c r="J57" s="12"/>
      <c r="K57" s="12"/>
      <c r="L57" s="12"/>
      <c r="M57" s="11" t="s">
        <v>197</v>
      </c>
    </row>
    <row r="58" spans="1:13" x14ac:dyDescent="0.2">
      <c r="A58" s="11" t="s">
        <v>198</v>
      </c>
      <c r="B58" s="11" t="s">
        <v>191</v>
      </c>
      <c r="C58" s="11" t="s">
        <v>49</v>
      </c>
      <c r="D58" s="11" t="s">
        <v>144</v>
      </c>
      <c r="E58" s="11" t="s">
        <v>524</v>
      </c>
      <c r="F58" s="11" t="s">
        <v>42</v>
      </c>
      <c r="G58" s="11" t="s">
        <v>8</v>
      </c>
      <c r="H58" s="11">
        <v>5</v>
      </c>
      <c r="I58" s="12"/>
      <c r="J58" s="12"/>
      <c r="K58" s="12"/>
      <c r="L58" s="12"/>
      <c r="M58" s="11" t="s">
        <v>525</v>
      </c>
    </row>
    <row r="59" spans="1:13" ht="30" x14ac:dyDescent="0.2">
      <c r="A59" s="11" t="s">
        <v>199</v>
      </c>
      <c r="B59" s="11"/>
      <c r="C59" s="11" t="s">
        <v>39</v>
      </c>
      <c r="D59" s="11" t="s">
        <v>200</v>
      </c>
      <c r="E59" s="11" t="s">
        <v>526</v>
      </c>
      <c r="F59" s="11" t="s">
        <v>42</v>
      </c>
      <c r="G59" s="11" t="s">
        <v>8</v>
      </c>
      <c r="H59" s="11">
        <v>0</v>
      </c>
      <c r="I59" s="12"/>
      <c r="J59" s="12"/>
      <c r="K59" s="12"/>
      <c r="L59" s="12"/>
      <c r="M59" s="11" t="s">
        <v>527</v>
      </c>
    </row>
    <row r="60" spans="1:13" ht="30" x14ac:dyDescent="0.2">
      <c r="A60" s="11" t="s">
        <v>201</v>
      </c>
      <c r="B60" s="11" t="s">
        <v>199</v>
      </c>
      <c r="C60" s="11" t="s">
        <v>45</v>
      </c>
      <c r="D60" s="11" t="s">
        <v>200</v>
      </c>
      <c r="E60" s="11" t="s">
        <v>528</v>
      </c>
      <c r="F60" s="11" t="s">
        <v>42</v>
      </c>
      <c r="G60" s="11" t="s">
        <v>8</v>
      </c>
      <c r="H60" s="11">
        <v>8</v>
      </c>
      <c r="I60" s="12"/>
      <c r="J60" s="12"/>
      <c r="K60" s="12"/>
      <c r="L60" s="12"/>
      <c r="M60" s="11" t="s">
        <v>529</v>
      </c>
    </row>
    <row r="61" spans="1:13" ht="30" x14ac:dyDescent="0.2">
      <c r="A61" s="11" t="s">
        <v>202</v>
      </c>
      <c r="B61" s="11" t="s">
        <v>201</v>
      </c>
      <c r="C61" s="11" t="s">
        <v>49</v>
      </c>
      <c r="D61" s="11" t="s">
        <v>200</v>
      </c>
      <c r="E61" s="11" t="s">
        <v>203</v>
      </c>
      <c r="F61" s="11" t="s">
        <v>42</v>
      </c>
      <c r="G61" s="11" t="s">
        <v>8</v>
      </c>
      <c r="H61" s="11">
        <v>3</v>
      </c>
      <c r="I61" s="12"/>
      <c r="J61" s="12"/>
      <c r="K61" s="12"/>
      <c r="L61" s="12"/>
      <c r="M61" s="11" t="s">
        <v>197</v>
      </c>
    </row>
    <row r="62" spans="1:13" ht="30" x14ac:dyDescent="0.2">
      <c r="A62" s="11" t="s">
        <v>204</v>
      </c>
      <c r="B62" s="11" t="s">
        <v>201</v>
      </c>
      <c r="C62" s="11" t="s">
        <v>49</v>
      </c>
      <c r="D62" s="11" t="s">
        <v>200</v>
      </c>
      <c r="E62" s="11" t="s">
        <v>205</v>
      </c>
      <c r="F62" s="11" t="s">
        <v>42</v>
      </c>
      <c r="G62" s="11" t="s">
        <v>8</v>
      </c>
      <c r="H62" s="11">
        <v>5</v>
      </c>
      <c r="I62" s="12"/>
      <c r="J62" s="12"/>
      <c r="K62" s="12"/>
      <c r="L62" s="12"/>
      <c r="M62" s="11" t="s">
        <v>206</v>
      </c>
    </row>
    <row r="63" spans="1:13" ht="30" x14ac:dyDescent="0.2">
      <c r="A63" s="11" t="s">
        <v>207</v>
      </c>
      <c r="B63" s="11" t="s">
        <v>201</v>
      </c>
      <c r="C63" s="11" t="s">
        <v>49</v>
      </c>
      <c r="D63" s="11" t="s">
        <v>200</v>
      </c>
      <c r="E63" s="11" t="s">
        <v>208</v>
      </c>
      <c r="F63" s="11" t="s">
        <v>42</v>
      </c>
      <c r="G63" s="11" t="s">
        <v>8</v>
      </c>
      <c r="H63" s="11">
        <v>3</v>
      </c>
      <c r="I63" s="12"/>
      <c r="J63" s="12"/>
      <c r="K63" s="12"/>
      <c r="L63" s="12"/>
      <c r="M63" s="11" t="s">
        <v>209</v>
      </c>
    </row>
    <row r="64" spans="1:13" x14ac:dyDescent="0.2">
      <c r="A64" s="11" t="s">
        <v>210</v>
      </c>
      <c r="B64" s="11"/>
      <c r="C64" s="11" t="s">
        <v>39</v>
      </c>
      <c r="D64" s="11" t="s">
        <v>211</v>
      </c>
      <c r="E64" s="11" t="s">
        <v>212</v>
      </c>
      <c r="F64" s="11" t="s">
        <v>42</v>
      </c>
      <c r="G64" s="11" t="s">
        <v>8</v>
      </c>
      <c r="H64" s="11">
        <v>0</v>
      </c>
      <c r="I64" s="12"/>
      <c r="J64" s="12"/>
      <c r="K64" s="12"/>
      <c r="L64" s="12"/>
      <c r="M64" s="11" t="s">
        <v>213</v>
      </c>
    </row>
    <row r="65" spans="1:13" x14ac:dyDescent="0.2">
      <c r="A65" s="11" t="s">
        <v>214</v>
      </c>
      <c r="B65" s="11" t="s">
        <v>210</v>
      </c>
      <c r="C65" s="11" t="s">
        <v>45</v>
      </c>
      <c r="D65" s="11" t="s">
        <v>211</v>
      </c>
      <c r="E65" s="11" t="s">
        <v>215</v>
      </c>
      <c r="F65" s="11" t="s">
        <v>42</v>
      </c>
      <c r="G65" s="11" t="s">
        <v>8</v>
      </c>
      <c r="H65" s="11">
        <v>8</v>
      </c>
      <c r="I65" s="12"/>
      <c r="J65" s="12"/>
      <c r="K65" s="12"/>
      <c r="L65" s="12"/>
      <c r="M65" s="11" t="s">
        <v>216</v>
      </c>
    </row>
    <row r="66" spans="1:13" x14ac:dyDescent="0.2">
      <c r="A66" s="11" t="s">
        <v>217</v>
      </c>
      <c r="B66" s="11" t="s">
        <v>214</v>
      </c>
      <c r="C66" s="11" t="s">
        <v>49</v>
      </c>
      <c r="D66" s="11" t="s">
        <v>211</v>
      </c>
      <c r="E66" s="11" t="s">
        <v>218</v>
      </c>
      <c r="F66" s="11" t="s">
        <v>42</v>
      </c>
      <c r="G66" s="11" t="s">
        <v>8</v>
      </c>
      <c r="H66" s="11">
        <v>3</v>
      </c>
      <c r="I66" s="12"/>
      <c r="J66" s="12"/>
      <c r="K66" s="12"/>
      <c r="L66" s="12"/>
      <c r="M66" s="11" t="s">
        <v>135</v>
      </c>
    </row>
    <row r="67" spans="1:13" x14ac:dyDescent="0.2">
      <c r="A67" s="11" t="s">
        <v>219</v>
      </c>
      <c r="B67" s="11" t="s">
        <v>214</v>
      </c>
      <c r="C67" s="11" t="s">
        <v>49</v>
      </c>
      <c r="D67" s="11" t="s">
        <v>211</v>
      </c>
      <c r="E67" s="11" t="s">
        <v>220</v>
      </c>
      <c r="F67" s="11" t="s">
        <v>42</v>
      </c>
      <c r="G67" s="11" t="s">
        <v>8</v>
      </c>
      <c r="H67" s="11">
        <v>3</v>
      </c>
      <c r="I67" s="12"/>
      <c r="J67" s="12"/>
      <c r="K67" s="12"/>
      <c r="L67" s="12"/>
      <c r="M67" s="11" t="s">
        <v>135</v>
      </c>
    </row>
    <row r="68" spans="1:13" x14ac:dyDescent="0.2">
      <c r="A68" s="11" t="s">
        <v>221</v>
      </c>
      <c r="B68" s="11" t="s">
        <v>214</v>
      </c>
      <c r="C68" s="11" t="s">
        <v>49</v>
      </c>
      <c r="D68" s="11" t="s">
        <v>211</v>
      </c>
      <c r="E68" s="11" t="s">
        <v>222</v>
      </c>
      <c r="F68" s="11" t="s">
        <v>42</v>
      </c>
      <c r="G68" s="11" t="s">
        <v>8</v>
      </c>
      <c r="H68" s="11">
        <v>3</v>
      </c>
      <c r="I68" s="12"/>
      <c r="J68" s="12"/>
      <c r="K68" s="12"/>
      <c r="L68" s="12"/>
      <c r="M68" s="11" t="s">
        <v>135</v>
      </c>
    </row>
    <row r="69" spans="1:13" x14ac:dyDescent="0.2">
      <c r="A69" s="11" t="s">
        <v>223</v>
      </c>
      <c r="B69" s="11" t="s">
        <v>210</v>
      </c>
      <c r="C69" s="11" t="s">
        <v>45</v>
      </c>
      <c r="D69" s="11" t="s">
        <v>211</v>
      </c>
      <c r="E69" s="11" t="s">
        <v>224</v>
      </c>
      <c r="F69" s="11" t="s">
        <v>42</v>
      </c>
      <c r="G69" s="11" t="s">
        <v>8</v>
      </c>
      <c r="H69" s="11">
        <v>8</v>
      </c>
      <c r="I69" s="12"/>
      <c r="J69" s="12"/>
      <c r="K69" s="12"/>
      <c r="L69" s="12"/>
      <c r="M69" s="11" t="s">
        <v>225</v>
      </c>
    </row>
    <row r="70" spans="1:13" x14ac:dyDescent="0.2">
      <c r="A70" s="11" t="s">
        <v>226</v>
      </c>
      <c r="B70" s="11" t="s">
        <v>223</v>
      </c>
      <c r="C70" s="11" t="s">
        <v>49</v>
      </c>
      <c r="D70" s="11" t="s">
        <v>211</v>
      </c>
      <c r="E70" s="11" t="s">
        <v>227</v>
      </c>
      <c r="F70" s="11" t="s">
        <v>42</v>
      </c>
      <c r="G70" s="11" t="s">
        <v>8</v>
      </c>
      <c r="H70" s="11">
        <v>5</v>
      </c>
      <c r="I70" s="12"/>
      <c r="J70" s="12"/>
      <c r="K70" s="12"/>
      <c r="L70" s="12"/>
      <c r="M70" s="11" t="s">
        <v>228</v>
      </c>
    </row>
    <row r="71" spans="1:13" x14ac:dyDescent="0.2">
      <c r="A71" s="11" t="s">
        <v>229</v>
      </c>
      <c r="B71" s="11" t="s">
        <v>223</v>
      </c>
      <c r="C71" s="11" t="s">
        <v>49</v>
      </c>
      <c r="D71" s="11" t="s">
        <v>211</v>
      </c>
      <c r="E71" s="11" t="s">
        <v>230</v>
      </c>
      <c r="F71" s="11" t="s">
        <v>42</v>
      </c>
      <c r="G71" s="11" t="s">
        <v>8</v>
      </c>
      <c r="H71" s="11">
        <v>5</v>
      </c>
      <c r="I71" s="12"/>
      <c r="J71" s="12"/>
      <c r="K71" s="12"/>
      <c r="L71" s="12"/>
      <c r="M71" s="11" t="s">
        <v>169</v>
      </c>
    </row>
    <row r="72" spans="1:13" x14ac:dyDescent="0.2">
      <c r="A72" s="11" t="s">
        <v>231</v>
      </c>
      <c r="B72" s="11" t="s">
        <v>223</v>
      </c>
      <c r="C72" s="11" t="s">
        <v>49</v>
      </c>
      <c r="D72" s="11" t="s">
        <v>211</v>
      </c>
      <c r="E72" s="11" t="s">
        <v>232</v>
      </c>
      <c r="F72" s="11" t="s">
        <v>42</v>
      </c>
      <c r="G72" s="11" t="s">
        <v>8</v>
      </c>
      <c r="H72" s="11">
        <v>3</v>
      </c>
      <c r="I72" s="12"/>
      <c r="J72" s="12"/>
      <c r="K72" s="12"/>
      <c r="L72" s="12"/>
      <c r="M72" s="11" t="s">
        <v>172</v>
      </c>
    </row>
    <row r="73" spans="1:13" x14ac:dyDescent="0.2">
      <c r="A73" s="11" t="s">
        <v>233</v>
      </c>
      <c r="B73" s="11" t="s">
        <v>210</v>
      </c>
      <c r="C73" s="11" t="s">
        <v>45</v>
      </c>
      <c r="D73" s="11" t="s">
        <v>211</v>
      </c>
      <c r="E73" s="11" t="s">
        <v>234</v>
      </c>
      <c r="F73" s="11" t="s">
        <v>42</v>
      </c>
      <c r="G73" s="11" t="s">
        <v>8</v>
      </c>
      <c r="H73" s="11">
        <v>8</v>
      </c>
      <c r="I73" s="12"/>
      <c r="J73" s="12"/>
      <c r="K73" s="12"/>
      <c r="L73" s="12"/>
      <c r="M73" s="11" t="s">
        <v>235</v>
      </c>
    </row>
    <row r="74" spans="1:13" x14ac:dyDescent="0.2">
      <c r="A74" s="11" t="s">
        <v>236</v>
      </c>
      <c r="B74" s="11" t="s">
        <v>233</v>
      </c>
      <c r="C74" s="11" t="s">
        <v>49</v>
      </c>
      <c r="D74" s="11" t="s">
        <v>211</v>
      </c>
      <c r="E74" s="11" t="s">
        <v>237</v>
      </c>
      <c r="F74" s="11" t="s">
        <v>42</v>
      </c>
      <c r="G74" s="11" t="s">
        <v>8</v>
      </c>
      <c r="H74" s="11">
        <v>3</v>
      </c>
      <c r="I74" s="12"/>
      <c r="J74" s="12"/>
      <c r="K74" s="12"/>
      <c r="L74" s="12"/>
      <c r="M74" s="11" t="s">
        <v>238</v>
      </c>
    </row>
    <row r="75" spans="1:13" x14ac:dyDescent="0.2">
      <c r="A75" s="11" t="s">
        <v>239</v>
      </c>
      <c r="B75" s="11" t="s">
        <v>233</v>
      </c>
      <c r="C75" s="11" t="s">
        <v>49</v>
      </c>
      <c r="D75" s="11" t="s">
        <v>211</v>
      </c>
      <c r="E75" s="11" t="s">
        <v>530</v>
      </c>
      <c r="F75" s="11" t="s">
        <v>42</v>
      </c>
      <c r="G75" s="11" t="s">
        <v>8</v>
      </c>
      <c r="H75" s="11">
        <v>3</v>
      </c>
      <c r="I75" s="12"/>
      <c r="J75" s="12"/>
      <c r="K75" s="12"/>
      <c r="L75" s="12"/>
      <c r="M75" s="11" t="s">
        <v>240</v>
      </c>
    </row>
    <row r="76" spans="1:13" x14ac:dyDescent="0.2">
      <c r="A76" s="11" t="s">
        <v>241</v>
      </c>
      <c r="B76" s="11" t="s">
        <v>233</v>
      </c>
      <c r="C76" s="11" t="s">
        <v>49</v>
      </c>
      <c r="D76" s="11" t="s">
        <v>211</v>
      </c>
      <c r="E76" s="11" t="s">
        <v>531</v>
      </c>
      <c r="F76" s="11" t="s">
        <v>42</v>
      </c>
      <c r="G76" s="11" t="s">
        <v>8</v>
      </c>
      <c r="H76" s="11">
        <v>5</v>
      </c>
      <c r="I76" s="12"/>
      <c r="J76" s="12"/>
      <c r="K76" s="12"/>
      <c r="L76" s="12"/>
      <c r="M76" s="11" t="s">
        <v>532</v>
      </c>
    </row>
    <row r="77" spans="1:13" x14ac:dyDescent="0.2">
      <c r="A77" s="11" t="s">
        <v>242</v>
      </c>
      <c r="B77" s="11" t="s">
        <v>210</v>
      </c>
      <c r="C77" s="11" t="s">
        <v>45</v>
      </c>
      <c r="D77" s="11" t="s">
        <v>211</v>
      </c>
      <c r="E77" s="11" t="s">
        <v>243</v>
      </c>
      <c r="F77" s="11" t="s">
        <v>42</v>
      </c>
      <c r="G77" s="11" t="s">
        <v>8</v>
      </c>
      <c r="H77" s="11">
        <v>8</v>
      </c>
      <c r="I77" s="12"/>
      <c r="J77" s="12"/>
      <c r="K77" s="12"/>
      <c r="L77" s="12"/>
      <c r="M77" s="11" t="s">
        <v>244</v>
      </c>
    </row>
    <row r="78" spans="1:13" x14ac:dyDescent="0.2">
      <c r="A78" s="11" t="s">
        <v>245</v>
      </c>
      <c r="B78" s="11" t="s">
        <v>242</v>
      </c>
      <c r="C78" s="11" t="s">
        <v>49</v>
      </c>
      <c r="D78" s="11" t="s">
        <v>211</v>
      </c>
      <c r="E78" s="11" t="s">
        <v>246</v>
      </c>
      <c r="F78" s="11" t="s">
        <v>42</v>
      </c>
      <c r="G78" s="11" t="s">
        <v>8</v>
      </c>
      <c r="H78" s="11">
        <v>3</v>
      </c>
      <c r="I78" s="12"/>
      <c r="J78" s="12"/>
      <c r="K78" s="12"/>
      <c r="L78" s="12"/>
      <c r="M78" s="11" t="s">
        <v>247</v>
      </c>
    </row>
    <row r="79" spans="1:13" x14ac:dyDescent="0.2">
      <c r="A79" s="11" t="s">
        <v>248</v>
      </c>
      <c r="B79" s="11" t="s">
        <v>242</v>
      </c>
      <c r="C79" s="11" t="s">
        <v>49</v>
      </c>
      <c r="D79" s="11" t="s">
        <v>211</v>
      </c>
      <c r="E79" s="11" t="s">
        <v>249</v>
      </c>
      <c r="F79" s="11" t="s">
        <v>42</v>
      </c>
      <c r="G79" s="11" t="s">
        <v>8</v>
      </c>
      <c r="H79" s="11">
        <v>3</v>
      </c>
      <c r="I79" s="12"/>
      <c r="J79" s="12"/>
      <c r="K79" s="12"/>
      <c r="L79" s="12"/>
      <c r="M79" s="11" t="s">
        <v>250</v>
      </c>
    </row>
    <row r="80" spans="1:13" x14ac:dyDescent="0.2">
      <c r="A80" s="11" t="s">
        <v>251</v>
      </c>
      <c r="B80" s="11" t="s">
        <v>242</v>
      </c>
      <c r="C80" s="11" t="s">
        <v>49</v>
      </c>
      <c r="D80" s="11" t="s">
        <v>211</v>
      </c>
      <c r="E80" s="11" t="s">
        <v>252</v>
      </c>
      <c r="F80" s="11" t="s">
        <v>42</v>
      </c>
      <c r="G80" s="11" t="s">
        <v>8</v>
      </c>
      <c r="H80" s="11">
        <v>3</v>
      </c>
      <c r="I80" s="12"/>
      <c r="J80" s="12"/>
      <c r="K80" s="12"/>
      <c r="L80" s="12"/>
      <c r="M80" s="11" t="s">
        <v>253</v>
      </c>
    </row>
    <row r="81" spans="1:13" x14ac:dyDescent="0.2">
      <c r="A81" s="11" t="s">
        <v>254</v>
      </c>
      <c r="B81" s="11" t="s">
        <v>242</v>
      </c>
      <c r="C81" s="11" t="s">
        <v>49</v>
      </c>
      <c r="D81" s="11" t="s">
        <v>211</v>
      </c>
      <c r="E81" s="11" t="s">
        <v>255</v>
      </c>
      <c r="F81" s="11" t="s">
        <v>42</v>
      </c>
      <c r="G81" s="11" t="s">
        <v>8</v>
      </c>
      <c r="H81" s="11">
        <v>3</v>
      </c>
      <c r="I81" s="12"/>
      <c r="J81" s="12"/>
      <c r="K81" s="12"/>
      <c r="L81" s="12"/>
      <c r="M81" s="11" t="s">
        <v>256</v>
      </c>
    </row>
    <row r="82" spans="1:13" x14ac:dyDescent="0.2">
      <c r="A82" s="11" t="s">
        <v>257</v>
      </c>
      <c r="B82" s="11"/>
      <c r="C82" s="11" t="s">
        <v>39</v>
      </c>
      <c r="D82" s="11" t="s">
        <v>507</v>
      </c>
      <c r="E82" s="11" t="s">
        <v>533</v>
      </c>
      <c r="F82" s="11" t="s">
        <v>42</v>
      </c>
      <c r="G82" s="11" t="s">
        <v>8</v>
      </c>
      <c r="H82" s="11">
        <v>0</v>
      </c>
      <c r="I82" s="12"/>
      <c r="J82" s="12"/>
      <c r="K82" s="12"/>
      <c r="L82" s="12"/>
      <c r="M82" s="11" t="s">
        <v>534</v>
      </c>
    </row>
    <row r="83" spans="1:13" x14ac:dyDescent="0.2">
      <c r="A83" s="11" t="s">
        <v>259</v>
      </c>
      <c r="B83" s="11" t="s">
        <v>257</v>
      </c>
      <c r="C83" s="11" t="s">
        <v>45</v>
      </c>
      <c r="D83" s="11" t="s">
        <v>508</v>
      </c>
      <c r="E83" s="11" t="s">
        <v>535</v>
      </c>
      <c r="F83" s="11" t="s">
        <v>42</v>
      </c>
      <c r="G83" s="11" t="s">
        <v>8</v>
      </c>
      <c r="H83" s="11">
        <v>8</v>
      </c>
      <c r="I83" s="12"/>
      <c r="J83" s="12"/>
      <c r="K83" s="12"/>
      <c r="L83" s="12"/>
      <c r="M83" s="11" t="s">
        <v>536</v>
      </c>
    </row>
    <row r="84" spans="1:13" x14ac:dyDescent="0.2">
      <c r="A84" s="11" t="s">
        <v>261</v>
      </c>
      <c r="B84" s="11" t="s">
        <v>259</v>
      </c>
      <c r="C84" s="11" t="s">
        <v>49</v>
      </c>
      <c r="D84" s="11" t="s">
        <v>508</v>
      </c>
      <c r="E84" s="11" t="s">
        <v>537</v>
      </c>
      <c r="F84" s="11" t="s">
        <v>42</v>
      </c>
      <c r="G84" s="11" t="s">
        <v>8</v>
      </c>
      <c r="H84" s="11">
        <v>5</v>
      </c>
      <c r="I84" s="12"/>
      <c r="J84" s="12"/>
      <c r="K84" s="12"/>
      <c r="L84" s="12"/>
      <c r="M84" s="11" t="s">
        <v>262</v>
      </c>
    </row>
    <row r="85" spans="1:13" x14ac:dyDescent="0.2">
      <c r="A85" s="11" t="s">
        <v>263</v>
      </c>
      <c r="B85" s="11" t="s">
        <v>259</v>
      </c>
      <c r="C85" s="11" t="s">
        <v>49</v>
      </c>
      <c r="D85" s="11" t="s">
        <v>508</v>
      </c>
      <c r="E85" s="11" t="s">
        <v>538</v>
      </c>
      <c r="F85" s="11" t="s">
        <v>42</v>
      </c>
      <c r="G85" s="11" t="s">
        <v>8</v>
      </c>
      <c r="H85" s="11">
        <v>5</v>
      </c>
      <c r="I85" s="12"/>
      <c r="J85" s="12"/>
      <c r="K85" s="12"/>
      <c r="L85" s="12"/>
      <c r="M85" s="11" t="s">
        <v>539</v>
      </c>
    </row>
    <row r="86" spans="1:13" x14ac:dyDescent="0.2">
      <c r="A86" s="11" t="s">
        <v>264</v>
      </c>
      <c r="B86" s="11" t="s">
        <v>259</v>
      </c>
      <c r="C86" s="11" t="s">
        <v>49</v>
      </c>
      <c r="D86" s="11" t="s">
        <v>508</v>
      </c>
      <c r="E86" s="11" t="s">
        <v>265</v>
      </c>
      <c r="F86" s="11" t="s">
        <v>42</v>
      </c>
      <c r="G86" s="11" t="s">
        <v>8</v>
      </c>
      <c r="H86" s="11">
        <v>8</v>
      </c>
      <c r="I86" s="12"/>
      <c r="J86" s="12"/>
      <c r="K86" s="12"/>
      <c r="L86" s="12"/>
      <c r="M86" s="11" t="s">
        <v>266</v>
      </c>
    </row>
    <row r="87" spans="1:13" x14ac:dyDescent="0.2">
      <c r="A87" s="11" t="s">
        <v>267</v>
      </c>
      <c r="B87" s="11" t="s">
        <v>259</v>
      </c>
      <c r="C87" s="11" t="s">
        <v>49</v>
      </c>
      <c r="D87" s="11" t="s">
        <v>508</v>
      </c>
      <c r="E87" s="11" t="s">
        <v>540</v>
      </c>
      <c r="F87" s="11" t="s">
        <v>42</v>
      </c>
      <c r="G87" s="11" t="s">
        <v>8</v>
      </c>
      <c r="H87" s="11">
        <v>5</v>
      </c>
      <c r="I87" s="12"/>
      <c r="J87" s="12"/>
      <c r="K87" s="12"/>
      <c r="L87" s="12"/>
      <c r="M87" s="11" t="s">
        <v>268</v>
      </c>
    </row>
    <row r="88" spans="1:13" x14ac:dyDescent="0.2">
      <c r="A88" s="11" t="s">
        <v>269</v>
      </c>
      <c r="B88" s="11" t="s">
        <v>257</v>
      </c>
      <c r="C88" s="11" t="s">
        <v>45</v>
      </c>
      <c r="D88" s="11" t="s">
        <v>504</v>
      </c>
      <c r="E88" s="11" t="s">
        <v>541</v>
      </c>
      <c r="F88" s="11" t="s">
        <v>42</v>
      </c>
      <c r="G88" s="11" t="s">
        <v>8</v>
      </c>
      <c r="H88" s="11">
        <v>8</v>
      </c>
      <c r="I88" s="12"/>
      <c r="J88" s="12"/>
      <c r="K88" s="12"/>
      <c r="L88" s="12"/>
      <c r="M88" s="11" t="s">
        <v>271</v>
      </c>
    </row>
    <row r="89" spans="1:13" x14ac:dyDescent="0.2">
      <c r="A89" s="11" t="s">
        <v>272</v>
      </c>
      <c r="B89" s="11" t="s">
        <v>269</v>
      </c>
      <c r="C89" s="11" t="s">
        <v>49</v>
      </c>
      <c r="D89" s="11" t="s">
        <v>504</v>
      </c>
      <c r="E89" s="11" t="s">
        <v>273</v>
      </c>
      <c r="F89" s="11" t="s">
        <v>42</v>
      </c>
      <c r="G89" s="11" t="s">
        <v>8</v>
      </c>
      <c r="H89" s="11">
        <v>3</v>
      </c>
      <c r="I89" s="12"/>
      <c r="J89" s="12"/>
      <c r="K89" s="12"/>
      <c r="L89" s="12"/>
      <c r="M89" s="11" t="s">
        <v>274</v>
      </c>
    </row>
    <row r="90" spans="1:13" x14ac:dyDescent="0.2">
      <c r="A90" s="11" t="s">
        <v>275</v>
      </c>
      <c r="B90" s="11" t="s">
        <v>269</v>
      </c>
      <c r="C90" s="11" t="s">
        <v>49</v>
      </c>
      <c r="D90" s="11" t="s">
        <v>504</v>
      </c>
      <c r="E90" s="11" t="s">
        <v>276</v>
      </c>
      <c r="F90" s="11" t="s">
        <v>42</v>
      </c>
      <c r="G90" s="11" t="s">
        <v>8</v>
      </c>
      <c r="H90" s="11">
        <v>3</v>
      </c>
      <c r="I90" s="12"/>
      <c r="J90" s="12"/>
      <c r="K90" s="12"/>
      <c r="L90" s="12"/>
      <c r="M90" s="11" t="s">
        <v>142</v>
      </c>
    </row>
    <row r="91" spans="1:13" x14ac:dyDescent="0.2">
      <c r="A91" s="11" t="s">
        <v>277</v>
      </c>
      <c r="B91" s="11" t="s">
        <v>269</v>
      </c>
      <c r="C91" s="11" t="s">
        <v>49</v>
      </c>
      <c r="D91" s="11" t="s">
        <v>504</v>
      </c>
      <c r="E91" s="11" t="s">
        <v>278</v>
      </c>
      <c r="F91" s="11" t="s">
        <v>42</v>
      </c>
      <c r="G91" s="11" t="s">
        <v>8</v>
      </c>
      <c r="H91" s="11">
        <v>3</v>
      </c>
      <c r="I91" s="12"/>
      <c r="J91" s="12"/>
      <c r="K91" s="12"/>
      <c r="L91" s="12"/>
      <c r="M91" s="11" t="s">
        <v>279</v>
      </c>
    </row>
    <row r="92" spans="1:13" x14ac:dyDescent="0.2">
      <c r="A92" s="11" t="s">
        <v>280</v>
      </c>
      <c r="B92" s="11"/>
      <c r="C92" s="11" t="s">
        <v>39</v>
      </c>
      <c r="D92" s="11" t="s">
        <v>506</v>
      </c>
      <c r="E92" s="11" t="s">
        <v>542</v>
      </c>
      <c r="F92" s="11" t="s">
        <v>42</v>
      </c>
      <c r="G92" s="11" t="s">
        <v>8</v>
      </c>
      <c r="H92" s="11">
        <v>0</v>
      </c>
      <c r="I92" s="12"/>
      <c r="J92" s="12"/>
      <c r="K92" s="12"/>
      <c r="L92" s="12"/>
      <c r="M92" s="11" t="s">
        <v>543</v>
      </c>
    </row>
    <row r="93" spans="1:13" x14ac:dyDescent="0.2">
      <c r="A93" s="11" t="s">
        <v>282</v>
      </c>
      <c r="B93" s="11" t="s">
        <v>280</v>
      </c>
      <c r="C93" s="11" t="s">
        <v>45</v>
      </c>
      <c r="D93" s="11" t="s">
        <v>506</v>
      </c>
      <c r="E93" s="11" t="s">
        <v>283</v>
      </c>
      <c r="F93" s="11" t="s">
        <v>42</v>
      </c>
      <c r="G93" s="11" t="s">
        <v>8</v>
      </c>
      <c r="H93" s="11">
        <v>8</v>
      </c>
      <c r="I93" s="12"/>
      <c r="J93" s="12"/>
      <c r="K93" s="12"/>
      <c r="L93" s="12"/>
      <c r="M93" s="11" t="s">
        <v>544</v>
      </c>
    </row>
    <row r="94" spans="1:13" x14ac:dyDescent="0.2">
      <c r="A94" s="11" t="s">
        <v>284</v>
      </c>
      <c r="B94" s="11" t="s">
        <v>282</v>
      </c>
      <c r="C94" s="11" t="s">
        <v>49</v>
      </c>
      <c r="D94" s="11" t="s">
        <v>506</v>
      </c>
      <c r="E94" s="11" t="s">
        <v>285</v>
      </c>
      <c r="F94" s="11" t="s">
        <v>42</v>
      </c>
      <c r="G94" s="11" t="s">
        <v>8</v>
      </c>
      <c r="H94" s="11">
        <v>5</v>
      </c>
      <c r="I94" s="12"/>
      <c r="J94" s="12"/>
      <c r="K94" s="12"/>
      <c r="L94" s="12"/>
      <c r="M94" s="11" t="s">
        <v>286</v>
      </c>
    </row>
    <row r="95" spans="1:13" x14ac:dyDescent="0.2">
      <c r="A95" s="11" t="s">
        <v>287</v>
      </c>
      <c r="B95" s="11" t="s">
        <v>282</v>
      </c>
      <c r="C95" s="11" t="s">
        <v>49</v>
      </c>
      <c r="D95" s="11" t="s">
        <v>506</v>
      </c>
      <c r="E95" s="11" t="s">
        <v>288</v>
      </c>
      <c r="F95" s="11" t="s">
        <v>42</v>
      </c>
      <c r="G95" s="11" t="s">
        <v>8</v>
      </c>
      <c r="H95" s="11">
        <v>3</v>
      </c>
      <c r="I95" s="12"/>
      <c r="J95" s="12"/>
      <c r="K95" s="12"/>
      <c r="L95" s="12"/>
      <c r="M95" s="11" t="s">
        <v>289</v>
      </c>
    </row>
    <row r="96" spans="1:13" x14ac:dyDescent="0.2">
      <c r="A96" s="11" t="s">
        <v>290</v>
      </c>
      <c r="B96" s="11" t="s">
        <v>282</v>
      </c>
      <c r="C96" s="11" t="s">
        <v>49</v>
      </c>
      <c r="D96" s="11" t="s">
        <v>506</v>
      </c>
      <c r="E96" s="11" t="s">
        <v>291</v>
      </c>
      <c r="F96" s="11" t="s">
        <v>42</v>
      </c>
      <c r="G96" s="11" t="s">
        <v>8</v>
      </c>
      <c r="H96" s="11">
        <v>5</v>
      </c>
      <c r="I96" s="12"/>
      <c r="J96" s="12"/>
      <c r="K96" s="12"/>
      <c r="L96" s="12"/>
      <c r="M96" s="11" t="s">
        <v>292</v>
      </c>
    </row>
    <row r="97" spans="1:13" x14ac:dyDescent="0.2">
      <c r="A97" s="11" t="s">
        <v>293</v>
      </c>
      <c r="B97" s="11" t="s">
        <v>282</v>
      </c>
      <c r="C97" s="11" t="s">
        <v>49</v>
      </c>
      <c r="D97" s="11" t="s">
        <v>506</v>
      </c>
      <c r="E97" s="11" t="s">
        <v>294</v>
      </c>
      <c r="F97" s="11" t="s">
        <v>42</v>
      </c>
      <c r="G97" s="11" t="s">
        <v>8</v>
      </c>
      <c r="H97" s="11">
        <v>5</v>
      </c>
      <c r="I97" s="12"/>
      <c r="J97" s="12"/>
      <c r="K97" s="12"/>
      <c r="L97" s="12"/>
      <c r="M97" s="11" t="s">
        <v>160</v>
      </c>
    </row>
    <row r="98" spans="1:13" x14ac:dyDescent="0.2">
      <c r="A98" s="11" t="s">
        <v>295</v>
      </c>
      <c r="B98" s="11" t="s">
        <v>280</v>
      </c>
      <c r="C98" s="11" t="s">
        <v>45</v>
      </c>
      <c r="D98" s="11" t="s">
        <v>506</v>
      </c>
      <c r="E98" s="11" t="s">
        <v>296</v>
      </c>
      <c r="F98" s="11" t="s">
        <v>42</v>
      </c>
      <c r="G98" s="11" t="s">
        <v>8</v>
      </c>
      <c r="H98" s="11">
        <v>13</v>
      </c>
      <c r="I98" s="12"/>
      <c r="J98" s="12"/>
      <c r="K98" s="12"/>
      <c r="L98" s="12"/>
      <c r="M98" s="11" t="s">
        <v>545</v>
      </c>
    </row>
    <row r="99" spans="1:13" x14ac:dyDescent="0.2">
      <c r="A99" s="11" t="s">
        <v>297</v>
      </c>
      <c r="B99" s="11" t="s">
        <v>295</v>
      </c>
      <c r="C99" s="11" t="s">
        <v>49</v>
      </c>
      <c r="D99" s="11" t="s">
        <v>506</v>
      </c>
      <c r="E99" s="11" t="s">
        <v>298</v>
      </c>
      <c r="F99" s="11" t="s">
        <v>42</v>
      </c>
      <c r="G99" s="11" t="s">
        <v>8</v>
      </c>
      <c r="H99" s="11">
        <v>3</v>
      </c>
      <c r="I99" s="12"/>
      <c r="J99" s="12"/>
      <c r="K99" s="12"/>
      <c r="L99" s="12"/>
      <c r="M99" s="11" t="s">
        <v>299</v>
      </c>
    </row>
    <row r="100" spans="1:13" x14ac:dyDescent="0.2">
      <c r="A100" s="11" t="s">
        <v>300</v>
      </c>
      <c r="B100" s="11" t="s">
        <v>295</v>
      </c>
      <c r="C100" s="11" t="s">
        <v>49</v>
      </c>
      <c r="D100" s="11" t="s">
        <v>506</v>
      </c>
      <c r="E100" s="11" t="s">
        <v>301</v>
      </c>
      <c r="F100" s="11" t="s">
        <v>42</v>
      </c>
      <c r="G100" s="11" t="s">
        <v>8</v>
      </c>
      <c r="H100" s="11">
        <v>5</v>
      </c>
      <c r="I100" s="12"/>
      <c r="J100" s="12"/>
      <c r="K100" s="12"/>
      <c r="L100" s="12"/>
      <c r="M100" s="11" t="s">
        <v>302</v>
      </c>
    </row>
    <row r="101" spans="1:13" x14ac:dyDescent="0.2">
      <c r="A101" s="11" t="s">
        <v>303</v>
      </c>
      <c r="B101" s="11" t="s">
        <v>295</v>
      </c>
      <c r="C101" s="11" t="s">
        <v>49</v>
      </c>
      <c r="D101" s="11" t="s">
        <v>506</v>
      </c>
      <c r="E101" s="11" t="s">
        <v>304</v>
      </c>
      <c r="F101" s="11" t="s">
        <v>42</v>
      </c>
      <c r="G101" s="11" t="s">
        <v>8</v>
      </c>
      <c r="H101" s="11">
        <v>5</v>
      </c>
      <c r="I101" s="12"/>
      <c r="J101" s="12"/>
      <c r="K101" s="12"/>
      <c r="L101" s="12"/>
      <c r="M101" s="11" t="s">
        <v>305</v>
      </c>
    </row>
    <row r="102" spans="1:13" x14ac:dyDescent="0.2">
      <c r="A102" s="11" t="s">
        <v>306</v>
      </c>
      <c r="B102" s="11" t="s">
        <v>295</v>
      </c>
      <c r="C102" s="11" t="s">
        <v>49</v>
      </c>
      <c r="D102" s="11" t="s">
        <v>506</v>
      </c>
      <c r="E102" s="11" t="s">
        <v>307</v>
      </c>
      <c r="F102" s="11" t="s">
        <v>42</v>
      </c>
      <c r="G102" s="11" t="s">
        <v>8</v>
      </c>
      <c r="H102" s="11">
        <v>5</v>
      </c>
      <c r="I102" s="12"/>
      <c r="J102" s="12"/>
      <c r="K102" s="12"/>
      <c r="L102" s="12"/>
      <c r="M102" s="11" t="s">
        <v>308</v>
      </c>
    </row>
    <row r="103" spans="1:13" x14ac:dyDescent="0.2">
      <c r="A103" s="11" t="s">
        <v>309</v>
      </c>
      <c r="B103" s="11" t="s">
        <v>295</v>
      </c>
      <c r="C103" s="11" t="s">
        <v>49</v>
      </c>
      <c r="D103" s="11" t="s">
        <v>506</v>
      </c>
      <c r="E103" s="11" t="s">
        <v>310</v>
      </c>
      <c r="F103" s="11" t="s">
        <v>42</v>
      </c>
      <c r="G103" s="11" t="s">
        <v>8</v>
      </c>
      <c r="H103" s="11">
        <v>8</v>
      </c>
      <c r="I103" s="12"/>
      <c r="J103" s="12"/>
      <c r="K103" s="12"/>
      <c r="L103" s="12"/>
      <c r="M103" s="11" t="s">
        <v>311</v>
      </c>
    </row>
    <row r="104" spans="1:13" x14ac:dyDescent="0.2">
      <c r="A104" s="11" t="s">
        <v>312</v>
      </c>
      <c r="B104" s="11" t="s">
        <v>280</v>
      </c>
      <c r="C104" s="11" t="s">
        <v>45</v>
      </c>
      <c r="D104" s="11" t="s">
        <v>506</v>
      </c>
      <c r="E104" s="11" t="s">
        <v>313</v>
      </c>
      <c r="F104" s="11" t="s">
        <v>42</v>
      </c>
      <c r="G104" s="11" t="s">
        <v>8</v>
      </c>
      <c r="H104" s="11">
        <v>8</v>
      </c>
      <c r="I104" s="12"/>
      <c r="J104" s="12"/>
      <c r="K104" s="12"/>
      <c r="L104" s="12"/>
      <c r="M104" s="11" t="s">
        <v>546</v>
      </c>
    </row>
    <row r="105" spans="1:13" x14ac:dyDescent="0.2">
      <c r="A105" s="11" t="s">
        <v>314</v>
      </c>
      <c r="B105" s="11" t="s">
        <v>312</v>
      </c>
      <c r="C105" s="11" t="s">
        <v>49</v>
      </c>
      <c r="D105" s="11" t="s">
        <v>506</v>
      </c>
      <c r="E105" s="11" t="s">
        <v>315</v>
      </c>
      <c r="F105" s="11" t="s">
        <v>42</v>
      </c>
      <c r="G105" s="11" t="s">
        <v>8</v>
      </c>
      <c r="H105" s="11">
        <v>5</v>
      </c>
      <c r="I105" s="12"/>
      <c r="J105" s="12"/>
      <c r="K105" s="12"/>
      <c r="L105" s="12"/>
      <c r="M105" s="11" t="s">
        <v>316</v>
      </c>
    </row>
    <row r="106" spans="1:13" x14ac:dyDescent="0.2">
      <c r="A106" s="11" t="s">
        <v>317</v>
      </c>
      <c r="B106" s="11" t="s">
        <v>312</v>
      </c>
      <c r="C106" s="11" t="s">
        <v>49</v>
      </c>
      <c r="D106" s="11" t="s">
        <v>506</v>
      </c>
      <c r="E106" s="11" t="s">
        <v>196</v>
      </c>
      <c r="F106" s="11" t="s">
        <v>42</v>
      </c>
      <c r="G106" s="11" t="s">
        <v>8</v>
      </c>
      <c r="H106" s="11">
        <v>3</v>
      </c>
      <c r="I106" s="12"/>
      <c r="J106" s="12"/>
      <c r="K106" s="12"/>
      <c r="L106" s="12"/>
      <c r="M106" s="11" t="s">
        <v>318</v>
      </c>
    </row>
    <row r="107" spans="1:13" x14ac:dyDescent="0.2">
      <c r="A107" s="11" t="s">
        <v>319</v>
      </c>
      <c r="B107" s="11" t="s">
        <v>312</v>
      </c>
      <c r="C107" s="11" t="s">
        <v>49</v>
      </c>
      <c r="D107" s="11" t="s">
        <v>506</v>
      </c>
      <c r="E107" s="11" t="s">
        <v>320</v>
      </c>
      <c r="F107" s="11" t="s">
        <v>42</v>
      </c>
      <c r="G107" s="11" t="s">
        <v>8</v>
      </c>
      <c r="H107" s="11">
        <v>5</v>
      </c>
      <c r="I107" s="12"/>
      <c r="J107" s="12"/>
      <c r="K107" s="12"/>
      <c r="L107" s="12"/>
      <c r="M107" s="11" t="s">
        <v>321</v>
      </c>
    </row>
    <row r="108" spans="1:13" x14ac:dyDescent="0.2">
      <c r="A108" s="11" t="s">
        <v>322</v>
      </c>
      <c r="B108" s="11" t="s">
        <v>312</v>
      </c>
      <c r="C108" s="11" t="s">
        <v>49</v>
      </c>
      <c r="D108" s="11" t="s">
        <v>506</v>
      </c>
      <c r="E108" s="11" t="s">
        <v>323</v>
      </c>
      <c r="F108" s="11" t="s">
        <v>470</v>
      </c>
      <c r="G108" s="11" t="s">
        <v>8</v>
      </c>
      <c r="H108" s="11">
        <v>5</v>
      </c>
      <c r="I108" s="12"/>
      <c r="J108" s="12"/>
      <c r="K108" s="12"/>
      <c r="L108" s="12"/>
      <c r="M108" s="11" t="s">
        <v>547</v>
      </c>
    </row>
    <row r="109" spans="1:13" x14ac:dyDescent="0.2">
      <c r="A109" s="11" t="s">
        <v>324</v>
      </c>
      <c r="B109" s="11" t="s">
        <v>312</v>
      </c>
      <c r="C109" s="11" t="s">
        <v>49</v>
      </c>
      <c r="D109" s="11" t="s">
        <v>506</v>
      </c>
      <c r="E109" s="11" t="s">
        <v>325</v>
      </c>
      <c r="F109" s="11" t="s">
        <v>42</v>
      </c>
      <c r="G109" s="11" t="s">
        <v>8</v>
      </c>
      <c r="H109" s="11">
        <v>3</v>
      </c>
      <c r="I109" s="12"/>
      <c r="J109" s="12"/>
      <c r="K109" s="12"/>
      <c r="L109" s="12"/>
      <c r="M109" s="11" t="s">
        <v>326</v>
      </c>
    </row>
    <row r="110" spans="1:13" ht="30" x14ac:dyDescent="0.2">
      <c r="A110" s="11" t="s">
        <v>327</v>
      </c>
      <c r="B110" s="11"/>
      <c r="C110" s="11" t="s">
        <v>39</v>
      </c>
      <c r="D110" s="11" t="s">
        <v>505</v>
      </c>
      <c r="E110" s="11" t="s">
        <v>548</v>
      </c>
      <c r="F110" s="11" t="s">
        <v>42</v>
      </c>
      <c r="G110" s="11" t="s">
        <v>8</v>
      </c>
      <c r="H110" s="11">
        <v>0</v>
      </c>
      <c r="I110" s="12"/>
      <c r="J110" s="12"/>
      <c r="K110" s="12"/>
      <c r="L110" s="12"/>
      <c r="M110" s="11" t="s">
        <v>549</v>
      </c>
    </row>
    <row r="111" spans="1:13" ht="30" x14ac:dyDescent="0.2">
      <c r="A111" s="11" t="s">
        <v>329</v>
      </c>
      <c r="B111" s="11" t="s">
        <v>327</v>
      </c>
      <c r="C111" s="11" t="s">
        <v>45</v>
      </c>
      <c r="D111" s="11" t="s">
        <v>505</v>
      </c>
      <c r="E111" s="11" t="s">
        <v>330</v>
      </c>
      <c r="F111" s="11" t="s">
        <v>42</v>
      </c>
      <c r="G111" s="11" t="s">
        <v>8</v>
      </c>
      <c r="H111" s="11">
        <v>8</v>
      </c>
      <c r="I111" s="12"/>
      <c r="J111" s="12"/>
      <c r="K111" s="12"/>
      <c r="L111" s="12"/>
      <c r="M111" s="11" t="s">
        <v>550</v>
      </c>
    </row>
    <row r="112" spans="1:13" ht="30" x14ac:dyDescent="0.2">
      <c r="A112" s="11" t="s">
        <v>331</v>
      </c>
      <c r="B112" s="11" t="s">
        <v>329</v>
      </c>
      <c r="C112" s="11" t="s">
        <v>49</v>
      </c>
      <c r="D112" s="11" t="s">
        <v>505</v>
      </c>
      <c r="E112" s="11" t="s">
        <v>332</v>
      </c>
      <c r="F112" s="11" t="s">
        <v>42</v>
      </c>
      <c r="G112" s="11" t="s">
        <v>8</v>
      </c>
      <c r="H112" s="11">
        <v>5</v>
      </c>
      <c r="I112" s="12"/>
      <c r="J112" s="12"/>
      <c r="K112" s="12"/>
      <c r="L112" s="12"/>
      <c r="M112" s="11" t="s">
        <v>333</v>
      </c>
    </row>
    <row r="113" spans="1:13" ht="30" x14ac:dyDescent="0.2">
      <c r="A113" s="11" t="s">
        <v>334</v>
      </c>
      <c r="B113" s="11" t="s">
        <v>329</v>
      </c>
      <c r="C113" s="11" t="s">
        <v>49</v>
      </c>
      <c r="D113" s="11" t="s">
        <v>505</v>
      </c>
      <c r="E113" s="11" t="s">
        <v>335</v>
      </c>
      <c r="F113" s="11" t="s">
        <v>42</v>
      </c>
      <c r="G113" s="11" t="s">
        <v>8</v>
      </c>
      <c r="H113" s="11">
        <v>3</v>
      </c>
      <c r="I113" s="12"/>
      <c r="J113" s="12"/>
      <c r="K113" s="12"/>
      <c r="L113" s="12"/>
      <c r="M113" s="11" t="s">
        <v>289</v>
      </c>
    </row>
    <row r="114" spans="1:13" ht="30" x14ac:dyDescent="0.2">
      <c r="A114" s="11" t="s">
        <v>336</v>
      </c>
      <c r="B114" s="11" t="s">
        <v>329</v>
      </c>
      <c r="C114" s="11" t="s">
        <v>49</v>
      </c>
      <c r="D114" s="11" t="s">
        <v>505</v>
      </c>
      <c r="E114" s="11" t="s">
        <v>337</v>
      </c>
      <c r="F114" s="11" t="s">
        <v>42</v>
      </c>
      <c r="G114" s="11" t="s">
        <v>8</v>
      </c>
      <c r="H114" s="11">
        <v>5</v>
      </c>
      <c r="I114" s="12"/>
      <c r="J114" s="12"/>
      <c r="K114" s="12"/>
      <c r="L114" s="12"/>
      <c r="M114" s="11" t="s">
        <v>338</v>
      </c>
    </row>
    <row r="115" spans="1:13" ht="30" x14ac:dyDescent="0.2">
      <c r="A115" s="11" t="s">
        <v>339</v>
      </c>
      <c r="B115" s="11" t="s">
        <v>327</v>
      </c>
      <c r="C115" s="11" t="s">
        <v>45</v>
      </c>
      <c r="D115" s="11" t="s">
        <v>505</v>
      </c>
      <c r="E115" s="11" t="s">
        <v>340</v>
      </c>
      <c r="F115" s="11" t="s">
        <v>42</v>
      </c>
      <c r="G115" s="11" t="s">
        <v>8</v>
      </c>
      <c r="H115" s="11">
        <v>8</v>
      </c>
      <c r="I115" s="12"/>
      <c r="J115" s="12"/>
      <c r="K115" s="12"/>
      <c r="L115" s="12"/>
      <c r="M115" s="11" t="s">
        <v>551</v>
      </c>
    </row>
    <row r="116" spans="1:13" ht="30" x14ac:dyDescent="0.2">
      <c r="A116" s="11" t="s">
        <v>341</v>
      </c>
      <c r="B116" s="11" t="s">
        <v>339</v>
      </c>
      <c r="C116" s="11" t="s">
        <v>49</v>
      </c>
      <c r="D116" s="11" t="s">
        <v>505</v>
      </c>
      <c r="E116" s="11" t="s">
        <v>342</v>
      </c>
      <c r="F116" s="11" t="s">
        <v>42</v>
      </c>
      <c r="G116" s="11" t="s">
        <v>8</v>
      </c>
      <c r="H116" s="11">
        <v>3</v>
      </c>
      <c r="I116" s="12"/>
      <c r="J116" s="12"/>
      <c r="K116" s="12"/>
      <c r="L116" s="12"/>
      <c r="M116" s="11" t="s">
        <v>340</v>
      </c>
    </row>
    <row r="117" spans="1:13" ht="30" x14ac:dyDescent="0.2">
      <c r="A117" s="11" t="s">
        <v>343</v>
      </c>
      <c r="B117" s="11" t="s">
        <v>339</v>
      </c>
      <c r="C117" s="11" t="s">
        <v>49</v>
      </c>
      <c r="D117" s="11" t="s">
        <v>505</v>
      </c>
      <c r="E117" s="11" t="s">
        <v>344</v>
      </c>
      <c r="F117" s="11" t="s">
        <v>42</v>
      </c>
      <c r="G117" s="11" t="s">
        <v>8</v>
      </c>
      <c r="H117" s="11">
        <v>5</v>
      </c>
      <c r="I117" s="12"/>
      <c r="J117" s="12"/>
      <c r="K117" s="12"/>
      <c r="L117" s="12"/>
      <c r="M117" s="11" t="s">
        <v>345</v>
      </c>
    </row>
    <row r="118" spans="1:13" ht="30" x14ac:dyDescent="0.2">
      <c r="A118" s="11" t="s">
        <v>346</v>
      </c>
      <c r="B118" s="11" t="s">
        <v>339</v>
      </c>
      <c r="C118" s="11" t="s">
        <v>49</v>
      </c>
      <c r="D118" s="11" t="s">
        <v>505</v>
      </c>
      <c r="E118" s="11" t="s">
        <v>347</v>
      </c>
      <c r="F118" s="11" t="s">
        <v>42</v>
      </c>
      <c r="G118" s="11" t="s">
        <v>8</v>
      </c>
      <c r="H118" s="11">
        <v>3</v>
      </c>
      <c r="I118" s="12"/>
      <c r="J118" s="12"/>
      <c r="K118" s="12"/>
      <c r="L118" s="12"/>
      <c r="M118" s="11" t="s">
        <v>552</v>
      </c>
    </row>
    <row r="119" spans="1:13" ht="30" x14ac:dyDescent="0.2">
      <c r="A119" s="11" t="s">
        <v>348</v>
      </c>
      <c r="B119" s="11" t="s">
        <v>327</v>
      </c>
      <c r="C119" s="11" t="s">
        <v>45</v>
      </c>
      <c r="D119" s="11" t="s">
        <v>505</v>
      </c>
      <c r="E119" s="11" t="s">
        <v>349</v>
      </c>
      <c r="F119" s="11" t="s">
        <v>42</v>
      </c>
      <c r="G119" s="11" t="s">
        <v>8</v>
      </c>
      <c r="H119" s="11">
        <v>8</v>
      </c>
      <c r="I119" s="12"/>
      <c r="J119" s="12"/>
      <c r="K119" s="12"/>
      <c r="L119" s="12"/>
      <c r="M119" s="11" t="s">
        <v>553</v>
      </c>
    </row>
    <row r="120" spans="1:13" ht="30" x14ac:dyDescent="0.2">
      <c r="A120" s="11" t="s">
        <v>350</v>
      </c>
      <c r="B120" s="11" t="s">
        <v>348</v>
      </c>
      <c r="C120" s="11" t="s">
        <v>49</v>
      </c>
      <c r="D120" s="11" t="s">
        <v>505</v>
      </c>
      <c r="E120" s="11" t="s">
        <v>351</v>
      </c>
      <c r="F120" s="11" t="s">
        <v>42</v>
      </c>
      <c r="G120" s="11" t="s">
        <v>8</v>
      </c>
      <c r="H120" s="11">
        <v>5</v>
      </c>
      <c r="I120" s="12"/>
      <c r="J120" s="12"/>
      <c r="K120" s="12"/>
      <c r="L120" s="12"/>
      <c r="M120" s="11" t="s">
        <v>554</v>
      </c>
    </row>
    <row r="121" spans="1:13" ht="30" x14ac:dyDescent="0.2">
      <c r="A121" s="11" t="s">
        <v>352</v>
      </c>
      <c r="B121" s="11" t="s">
        <v>348</v>
      </c>
      <c r="C121" s="11" t="s">
        <v>49</v>
      </c>
      <c r="D121" s="11" t="s">
        <v>505</v>
      </c>
      <c r="E121" s="11" t="s">
        <v>353</v>
      </c>
      <c r="F121" s="11" t="s">
        <v>42</v>
      </c>
      <c r="G121" s="11" t="s">
        <v>8</v>
      </c>
      <c r="H121" s="11">
        <v>3</v>
      </c>
      <c r="I121" s="12"/>
      <c r="J121" s="12"/>
      <c r="K121" s="12"/>
      <c r="L121" s="12"/>
      <c r="M121" s="11" t="s">
        <v>354</v>
      </c>
    </row>
    <row r="122" spans="1:13" ht="30" x14ac:dyDescent="0.2">
      <c r="A122" s="11" t="s">
        <v>355</v>
      </c>
      <c r="B122" s="11" t="s">
        <v>348</v>
      </c>
      <c r="C122" s="11" t="s">
        <v>49</v>
      </c>
      <c r="D122" s="11" t="s">
        <v>505</v>
      </c>
      <c r="E122" s="11" t="s">
        <v>356</v>
      </c>
      <c r="F122" s="11" t="s">
        <v>42</v>
      </c>
      <c r="G122" s="11" t="s">
        <v>8</v>
      </c>
      <c r="H122" s="11">
        <v>3</v>
      </c>
      <c r="I122" s="12"/>
      <c r="J122" s="12"/>
      <c r="K122" s="12"/>
      <c r="L122" s="12"/>
      <c r="M122" s="11" t="s">
        <v>357</v>
      </c>
    </row>
    <row r="123" spans="1:13" ht="30" x14ac:dyDescent="0.2">
      <c r="A123" s="11" t="s">
        <v>358</v>
      </c>
      <c r="B123" s="11" t="s">
        <v>348</v>
      </c>
      <c r="C123" s="11" t="s">
        <v>49</v>
      </c>
      <c r="D123" s="11" t="s">
        <v>505</v>
      </c>
      <c r="E123" s="11" t="s">
        <v>359</v>
      </c>
      <c r="F123" s="11" t="s">
        <v>42</v>
      </c>
      <c r="G123" s="11" t="s">
        <v>8</v>
      </c>
      <c r="H123" s="11">
        <v>5</v>
      </c>
      <c r="I123" s="12"/>
      <c r="J123" s="12"/>
      <c r="K123" s="12"/>
      <c r="L123" s="12"/>
      <c r="M123" s="11" t="s">
        <v>360</v>
      </c>
    </row>
    <row r="124" spans="1:13" ht="30" x14ac:dyDescent="0.2">
      <c r="A124" s="11" t="s">
        <v>361</v>
      </c>
      <c r="B124" s="11" t="s">
        <v>348</v>
      </c>
      <c r="C124" s="11" t="s">
        <v>49</v>
      </c>
      <c r="D124" s="11" t="s">
        <v>505</v>
      </c>
      <c r="E124" s="11" t="s">
        <v>362</v>
      </c>
      <c r="F124" s="11" t="s">
        <v>42</v>
      </c>
      <c r="G124" s="11" t="s">
        <v>8</v>
      </c>
      <c r="H124" s="11">
        <v>5</v>
      </c>
      <c r="I124" s="12"/>
      <c r="J124" s="12"/>
      <c r="K124" s="12"/>
      <c r="L124" s="12"/>
      <c r="M124" s="11" t="s">
        <v>363</v>
      </c>
    </row>
    <row r="125" spans="1:13" x14ac:dyDescent="0.2">
      <c r="A125" s="11" t="s">
        <v>364</v>
      </c>
      <c r="B125" s="11"/>
      <c r="C125" s="11" t="s">
        <v>39</v>
      </c>
      <c r="D125" s="11" t="s">
        <v>365</v>
      </c>
      <c r="E125" s="11" t="s">
        <v>555</v>
      </c>
      <c r="F125" s="11" t="s">
        <v>42</v>
      </c>
      <c r="G125" s="11" t="s">
        <v>8</v>
      </c>
      <c r="H125" s="11">
        <v>0</v>
      </c>
      <c r="I125" s="12"/>
      <c r="J125" s="12"/>
      <c r="K125" s="12"/>
      <c r="L125" s="12"/>
      <c r="M125" s="11" t="s">
        <v>366</v>
      </c>
    </row>
    <row r="126" spans="1:13" x14ac:dyDescent="0.2">
      <c r="A126" s="11" t="s">
        <v>367</v>
      </c>
      <c r="B126" s="11" t="s">
        <v>364</v>
      </c>
      <c r="C126" s="11" t="s">
        <v>45</v>
      </c>
      <c r="D126" s="11" t="s">
        <v>365</v>
      </c>
      <c r="E126" s="11" t="s">
        <v>368</v>
      </c>
      <c r="F126" s="11" t="s">
        <v>42</v>
      </c>
      <c r="G126" s="11" t="s">
        <v>8</v>
      </c>
      <c r="H126" s="11">
        <v>8</v>
      </c>
      <c r="I126" s="12"/>
      <c r="J126" s="12"/>
      <c r="K126" s="12"/>
      <c r="L126" s="12"/>
      <c r="M126" s="11" t="s">
        <v>369</v>
      </c>
    </row>
    <row r="127" spans="1:13" x14ac:dyDescent="0.2">
      <c r="A127" s="11" t="s">
        <v>370</v>
      </c>
      <c r="B127" s="11" t="s">
        <v>367</v>
      </c>
      <c r="C127" s="11" t="s">
        <v>49</v>
      </c>
      <c r="D127" s="11" t="s">
        <v>365</v>
      </c>
      <c r="E127" s="11" t="s">
        <v>371</v>
      </c>
      <c r="F127" s="11" t="s">
        <v>42</v>
      </c>
      <c r="G127" s="11" t="s">
        <v>8</v>
      </c>
      <c r="H127" s="11">
        <v>5</v>
      </c>
      <c r="I127" s="12"/>
      <c r="J127" s="12"/>
      <c r="K127" s="12"/>
      <c r="L127" s="12"/>
      <c r="M127" s="11" t="s">
        <v>372</v>
      </c>
    </row>
    <row r="128" spans="1:13" x14ac:dyDescent="0.2">
      <c r="A128" s="11" t="s">
        <v>373</v>
      </c>
      <c r="B128" s="11" t="s">
        <v>367</v>
      </c>
      <c r="C128" s="11" t="s">
        <v>49</v>
      </c>
      <c r="D128" s="11" t="s">
        <v>365</v>
      </c>
      <c r="E128" s="11" t="s">
        <v>374</v>
      </c>
      <c r="F128" s="11" t="s">
        <v>42</v>
      </c>
      <c r="G128" s="11" t="s">
        <v>8</v>
      </c>
      <c r="H128" s="11">
        <v>5</v>
      </c>
      <c r="I128" s="12"/>
      <c r="J128" s="12"/>
      <c r="K128" s="12"/>
      <c r="L128" s="12"/>
      <c r="M128" s="11" t="s">
        <v>375</v>
      </c>
    </row>
    <row r="129" spans="1:13" x14ac:dyDescent="0.2">
      <c r="A129" s="11" t="s">
        <v>376</v>
      </c>
      <c r="B129" s="11" t="s">
        <v>367</v>
      </c>
      <c r="C129" s="11" t="s">
        <v>49</v>
      </c>
      <c r="D129" s="11" t="s">
        <v>365</v>
      </c>
      <c r="E129" s="11" t="s">
        <v>377</v>
      </c>
      <c r="F129" s="11" t="s">
        <v>42</v>
      </c>
      <c r="G129" s="11" t="s">
        <v>8</v>
      </c>
      <c r="H129" s="11">
        <v>3</v>
      </c>
      <c r="I129" s="12"/>
      <c r="J129" s="12"/>
      <c r="K129" s="12"/>
      <c r="L129" s="12"/>
      <c r="M129" s="11" t="s">
        <v>378</v>
      </c>
    </row>
    <row r="130" spans="1:13" x14ac:dyDescent="0.2">
      <c r="A130" s="11" t="s">
        <v>379</v>
      </c>
      <c r="B130" s="11"/>
      <c r="C130" s="11" t="s">
        <v>39</v>
      </c>
      <c r="D130" s="11" t="s">
        <v>380</v>
      </c>
      <c r="E130" s="11" t="s">
        <v>381</v>
      </c>
      <c r="F130" s="11" t="s">
        <v>42</v>
      </c>
      <c r="G130" s="11" t="s">
        <v>8</v>
      </c>
      <c r="H130" s="11">
        <v>0</v>
      </c>
      <c r="I130" s="12"/>
      <c r="J130" s="12"/>
      <c r="K130" s="12"/>
      <c r="L130" s="12"/>
      <c r="M130" s="11" t="s">
        <v>382</v>
      </c>
    </row>
    <row r="131" spans="1:13" x14ac:dyDescent="0.2">
      <c r="A131" s="11" t="s">
        <v>383</v>
      </c>
      <c r="B131" s="11" t="s">
        <v>379</v>
      </c>
      <c r="C131" s="11" t="s">
        <v>45</v>
      </c>
      <c r="D131" s="11" t="s">
        <v>380</v>
      </c>
      <c r="E131" s="11" t="s">
        <v>384</v>
      </c>
      <c r="F131" s="11" t="s">
        <v>42</v>
      </c>
      <c r="G131" s="11" t="s">
        <v>8</v>
      </c>
      <c r="H131" s="11">
        <v>8</v>
      </c>
      <c r="I131" s="12"/>
      <c r="J131" s="12"/>
      <c r="K131" s="12"/>
      <c r="L131" s="12"/>
      <c r="M131" s="11" t="s">
        <v>556</v>
      </c>
    </row>
    <row r="132" spans="1:13" x14ac:dyDescent="0.2">
      <c r="A132" s="11" t="s">
        <v>385</v>
      </c>
      <c r="B132" s="11" t="s">
        <v>383</v>
      </c>
      <c r="C132" s="11" t="s">
        <v>49</v>
      </c>
      <c r="D132" s="11" t="s">
        <v>380</v>
      </c>
      <c r="E132" s="11" t="s">
        <v>386</v>
      </c>
      <c r="F132" s="11" t="s">
        <v>42</v>
      </c>
      <c r="G132" s="11" t="s">
        <v>8</v>
      </c>
      <c r="H132" s="11">
        <v>5</v>
      </c>
      <c r="I132" s="12"/>
      <c r="J132" s="12"/>
      <c r="K132" s="12"/>
      <c r="L132" s="12"/>
      <c r="M132" s="11" t="s">
        <v>387</v>
      </c>
    </row>
    <row r="133" spans="1:13" x14ac:dyDescent="0.2">
      <c r="A133" s="11" t="s">
        <v>388</v>
      </c>
      <c r="B133" s="11" t="s">
        <v>383</v>
      </c>
      <c r="C133" s="11" t="s">
        <v>49</v>
      </c>
      <c r="D133" s="11" t="s">
        <v>380</v>
      </c>
      <c r="E133" s="11" t="s">
        <v>389</v>
      </c>
      <c r="F133" s="11" t="s">
        <v>42</v>
      </c>
      <c r="G133" s="11" t="s">
        <v>8</v>
      </c>
      <c r="H133" s="11">
        <v>5</v>
      </c>
      <c r="I133" s="12"/>
      <c r="J133" s="12"/>
      <c r="K133" s="12"/>
      <c r="L133" s="12"/>
      <c r="M133" s="11" t="s">
        <v>390</v>
      </c>
    </row>
    <row r="134" spans="1:13" x14ac:dyDescent="0.2">
      <c r="A134" s="11" t="s">
        <v>391</v>
      </c>
      <c r="B134" s="11" t="s">
        <v>383</v>
      </c>
      <c r="C134" s="11" t="s">
        <v>49</v>
      </c>
      <c r="D134" s="11" t="s">
        <v>380</v>
      </c>
      <c r="E134" s="11" t="s">
        <v>392</v>
      </c>
      <c r="F134" s="11" t="s">
        <v>42</v>
      </c>
      <c r="G134" s="11" t="s">
        <v>8</v>
      </c>
      <c r="H134" s="11">
        <v>2</v>
      </c>
      <c r="I134" s="12"/>
      <c r="J134" s="12"/>
      <c r="K134" s="12"/>
      <c r="L134" s="12"/>
      <c r="M134" s="11" t="s">
        <v>393</v>
      </c>
    </row>
    <row r="135" spans="1:13" x14ac:dyDescent="0.2">
      <c r="A135" s="11" t="s">
        <v>394</v>
      </c>
      <c r="B135" s="11" t="s">
        <v>383</v>
      </c>
      <c r="C135" s="11" t="s">
        <v>49</v>
      </c>
      <c r="D135" s="11" t="s">
        <v>380</v>
      </c>
      <c r="E135" s="11" t="s">
        <v>395</v>
      </c>
      <c r="F135" s="11" t="s">
        <v>42</v>
      </c>
      <c r="G135" s="11" t="s">
        <v>8</v>
      </c>
      <c r="H135" s="11">
        <v>3</v>
      </c>
      <c r="I135" s="12"/>
      <c r="J135" s="12"/>
      <c r="K135" s="12"/>
      <c r="L135" s="12"/>
      <c r="M135" s="11" t="s">
        <v>396</v>
      </c>
    </row>
    <row r="136" spans="1:13" x14ac:dyDescent="0.2">
      <c r="A136" s="11" t="s">
        <v>397</v>
      </c>
      <c r="B136" s="11"/>
      <c r="C136" s="11" t="s">
        <v>39</v>
      </c>
      <c r="D136" s="11" t="s">
        <v>398</v>
      </c>
      <c r="E136" s="11" t="s">
        <v>399</v>
      </c>
      <c r="F136" s="11" t="s">
        <v>42</v>
      </c>
      <c r="G136" s="11" t="s">
        <v>8</v>
      </c>
      <c r="H136" s="11">
        <v>0</v>
      </c>
      <c r="I136" s="12"/>
      <c r="J136" s="12"/>
      <c r="K136" s="12"/>
      <c r="L136" s="12"/>
      <c r="M136" s="11" t="s">
        <v>400</v>
      </c>
    </row>
    <row r="137" spans="1:13" x14ac:dyDescent="0.2">
      <c r="A137" s="11" t="s">
        <v>401</v>
      </c>
      <c r="B137" s="11" t="s">
        <v>397</v>
      </c>
      <c r="C137" s="11" t="s">
        <v>45</v>
      </c>
      <c r="D137" s="11" t="s">
        <v>402</v>
      </c>
      <c r="E137" s="11" t="s">
        <v>403</v>
      </c>
      <c r="F137" s="11" t="s">
        <v>42</v>
      </c>
      <c r="G137" s="11" t="s">
        <v>8</v>
      </c>
      <c r="H137" s="11">
        <v>8</v>
      </c>
      <c r="I137" s="12"/>
      <c r="J137" s="12"/>
      <c r="K137" s="12"/>
      <c r="L137" s="12"/>
      <c r="M137" s="11" t="s">
        <v>557</v>
      </c>
    </row>
    <row r="138" spans="1:13" x14ac:dyDescent="0.2">
      <c r="A138" s="11" t="s">
        <v>404</v>
      </c>
      <c r="B138" s="11" t="s">
        <v>401</v>
      </c>
      <c r="C138" s="11" t="s">
        <v>49</v>
      </c>
      <c r="D138" s="11" t="s">
        <v>402</v>
      </c>
      <c r="E138" s="11" t="s">
        <v>405</v>
      </c>
      <c r="F138" s="11" t="s">
        <v>42</v>
      </c>
      <c r="G138" s="11" t="s">
        <v>8</v>
      </c>
      <c r="H138" s="11">
        <v>5</v>
      </c>
      <c r="I138" s="12"/>
      <c r="J138" s="12"/>
      <c r="K138" s="12"/>
      <c r="L138" s="12"/>
      <c r="M138" s="11" t="s">
        <v>406</v>
      </c>
    </row>
    <row r="139" spans="1:13" x14ac:dyDescent="0.2">
      <c r="A139" s="11" t="s">
        <v>407</v>
      </c>
      <c r="B139" s="11" t="s">
        <v>401</v>
      </c>
      <c r="C139" s="11" t="s">
        <v>49</v>
      </c>
      <c r="D139" s="11" t="s">
        <v>402</v>
      </c>
      <c r="E139" s="11" t="s">
        <v>408</v>
      </c>
      <c r="F139" s="11" t="s">
        <v>42</v>
      </c>
      <c r="G139" s="11" t="s">
        <v>8</v>
      </c>
      <c r="H139" s="11">
        <v>5</v>
      </c>
      <c r="I139" s="12"/>
      <c r="J139" s="12"/>
      <c r="K139" s="12"/>
      <c r="L139" s="12"/>
      <c r="M139" s="11" t="s">
        <v>409</v>
      </c>
    </row>
    <row r="140" spans="1:13" x14ac:dyDescent="0.2">
      <c r="A140" s="11" t="s">
        <v>410</v>
      </c>
      <c r="B140" s="11" t="s">
        <v>401</v>
      </c>
      <c r="C140" s="11" t="s">
        <v>49</v>
      </c>
      <c r="D140" s="11" t="s">
        <v>402</v>
      </c>
      <c r="E140" s="11" t="s">
        <v>558</v>
      </c>
      <c r="F140" s="11" t="s">
        <v>42</v>
      </c>
      <c r="G140" s="11" t="s">
        <v>8</v>
      </c>
      <c r="H140" s="11">
        <v>5</v>
      </c>
      <c r="I140" s="12"/>
      <c r="J140" s="12"/>
      <c r="K140" s="12"/>
      <c r="L140" s="12"/>
      <c r="M140" s="11" t="s">
        <v>559</v>
      </c>
    </row>
    <row r="141" spans="1:13" x14ac:dyDescent="0.2">
      <c r="A141" s="11" t="s">
        <v>411</v>
      </c>
      <c r="B141" s="11" t="s">
        <v>397</v>
      </c>
      <c r="C141" s="11" t="s">
        <v>45</v>
      </c>
      <c r="D141" s="11" t="s">
        <v>402</v>
      </c>
      <c r="E141" s="11" t="s">
        <v>412</v>
      </c>
      <c r="F141" s="11" t="s">
        <v>42</v>
      </c>
      <c r="G141" s="11" t="s">
        <v>8</v>
      </c>
      <c r="H141" s="11">
        <v>13</v>
      </c>
      <c r="I141" s="12"/>
      <c r="J141" s="12"/>
      <c r="K141" s="12"/>
      <c r="L141" s="12"/>
      <c r="M141" s="11" t="s">
        <v>560</v>
      </c>
    </row>
    <row r="142" spans="1:13" x14ac:dyDescent="0.2">
      <c r="A142" s="11" t="s">
        <v>413</v>
      </c>
      <c r="B142" s="11" t="s">
        <v>411</v>
      </c>
      <c r="C142" s="11" t="s">
        <v>49</v>
      </c>
      <c r="D142" s="11" t="s">
        <v>402</v>
      </c>
      <c r="E142" s="11" t="s">
        <v>414</v>
      </c>
      <c r="F142" s="11" t="s">
        <v>42</v>
      </c>
      <c r="G142" s="11" t="s">
        <v>8</v>
      </c>
      <c r="H142" s="11">
        <v>5</v>
      </c>
      <c r="I142" s="12"/>
      <c r="J142" s="12"/>
      <c r="K142" s="12"/>
      <c r="L142" s="12"/>
      <c r="M142" s="11" t="s">
        <v>415</v>
      </c>
    </row>
    <row r="143" spans="1:13" x14ac:dyDescent="0.2">
      <c r="A143" s="11" t="s">
        <v>416</v>
      </c>
      <c r="B143" s="11" t="s">
        <v>411</v>
      </c>
      <c r="C143" s="11" t="s">
        <v>49</v>
      </c>
      <c r="D143" s="11" t="s">
        <v>402</v>
      </c>
      <c r="E143" s="11" t="s">
        <v>417</v>
      </c>
      <c r="F143" s="11" t="s">
        <v>42</v>
      </c>
      <c r="G143" s="11" t="s">
        <v>8</v>
      </c>
      <c r="H143" s="11">
        <v>5</v>
      </c>
      <c r="I143" s="12"/>
      <c r="J143" s="12"/>
      <c r="K143" s="12"/>
      <c r="L143" s="12"/>
      <c r="M143" s="11" t="s">
        <v>561</v>
      </c>
    </row>
    <row r="144" spans="1:13" x14ac:dyDescent="0.2">
      <c r="A144" s="11" t="s">
        <v>418</v>
      </c>
      <c r="B144" s="11" t="s">
        <v>411</v>
      </c>
      <c r="C144" s="11" t="s">
        <v>49</v>
      </c>
      <c r="D144" s="11" t="s">
        <v>402</v>
      </c>
      <c r="E144" s="11" t="s">
        <v>419</v>
      </c>
      <c r="F144" s="11" t="s">
        <v>42</v>
      </c>
      <c r="G144" s="11" t="s">
        <v>8</v>
      </c>
      <c r="H144" s="11">
        <v>3</v>
      </c>
      <c r="I144" s="12"/>
      <c r="J144" s="12"/>
      <c r="K144" s="12"/>
      <c r="L144" s="12"/>
      <c r="M144" s="11" t="s">
        <v>318</v>
      </c>
    </row>
    <row r="145" spans="1:13" x14ac:dyDescent="0.2">
      <c r="A145" s="11" t="s">
        <v>420</v>
      </c>
      <c r="B145" s="11" t="s">
        <v>397</v>
      </c>
      <c r="C145" s="11" t="s">
        <v>45</v>
      </c>
      <c r="D145" s="11" t="s">
        <v>402</v>
      </c>
      <c r="E145" s="11" t="s">
        <v>421</v>
      </c>
      <c r="F145" s="11" t="s">
        <v>42</v>
      </c>
      <c r="G145" s="11" t="s">
        <v>8</v>
      </c>
      <c r="H145" s="11">
        <v>13</v>
      </c>
      <c r="I145" s="12"/>
      <c r="J145" s="12"/>
      <c r="K145" s="12"/>
      <c r="L145" s="12"/>
      <c r="M145" s="11" t="s">
        <v>422</v>
      </c>
    </row>
    <row r="146" spans="1:13" x14ac:dyDescent="0.2">
      <c r="A146" s="11" t="s">
        <v>423</v>
      </c>
      <c r="B146" s="11" t="s">
        <v>420</v>
      </c>
      <c r="C146" s="11" t="s">
        <v>49</v>
      </c>
      <c r="D146" s="11" t="s">
        <v>402</v>
      </c>
      <c r="E146" s="11" t="s">
        <v>424</v>
      </c>
      <c r="F146" s="11" t="s">
        <v>42</v>
      </c>
      <c r="G146" s="11" t="s">
        <v>8</v>
      </c>
      <c r="H146" s="11">
        <v>5</v>
      </c>
      <c r="I146" s="12"/>
      <c r="J146" s="12"/>
      <c r="K146" s="12"/>
      <c r="L146" s="12"/>
      <c r="M146" s="11" t="s">
        <v>425</v>
      </c>
    </row>
    <row r="147" spans="1:13" x14ac:dyDescent="0.2">
      <c r="A147" s="11" t="s">
        <v>426</v>
      </c>
      <c r="B147" s="11" t="s">
        <v>420</v>
      </c>
      <c r="C147" s="11" t="s">
        <v>49</v>
      </c>
      <c r="D147" s="11" t="s">
        <v>402</v>
      </c>
      <c r="E147" s="11" t="s">
        <v>427</v>
      </c>
      <c r="F147" s="11" t="s">
        <v>42</v>
      </c>
      <c r="G147" s="11" t="s">
        <v>8</v>
      </c>
      <c r="H147" s="11">
        <v>5</v>
      </c>
      <c r="I147" s="12"/>
      <c r="J147" s="12"/>
      <c r="K147" s="12"/>
      <c r="L147" s="12"/>
      <c r="M147" s="11" t="s">
        <v>562</v>
      </c>
    </row>
    <row r="148" spans="1:13" x14ac:dyDescent="0.2">
      <c r="A148" s="11" t="s">
        <v>428</v>
      </c>
      <c r="B148" s="11" t="s">
        <v>420</v>
      </c>
      <c r="C148" s="11" t="s">
        <v>49</v>
      </c>
      <c r="D148" s="11" t="s">
        <v>402</v>
      </c>
      <c r="E148" s="11" t="s">
        <v>429</v>
      </c>
      <c r="F148" s="11" t="s">
        <v>42</v>
      </c>
      <c r="G148" s="11" t="s">
        <v>8</v>
      </c>
      <c r="H148" s="11">
        <v>3</v>
      </c>
      <c r="I148" s="12"/>
      <c r="J148" s="12"/>
      <c r="K148" s="12"/>
      <c r="L148" s="12"/>
      <c r="M148" s="11" t="s">
        <v>430</v>
      </c>
    </row>
    <row r="149" spans="1:13" x14ac:dyDescent="0.2">
      <c r="A149" s="11" t="s">
        <v>431</v>
      </c>
      <c r="B149" s="11"/>
      <c r="C149" s="11" t="s">
        <v>39</v>
      </c>
      <c r="D149" s="11" t="s">
        <v>432</v>
      </c>
      <c r="E149" s="11" t="s">
        <v>433</v>
      </c>
      <c r="F149" s="11" t="s">
        <v>42</v>
      </c>
      <c r="G149" s="11" t="s">
        <v>8</v>
      </c>
      <c r="H149" s="11">
        <v>0</v>
      </c>
      <c r="I149" s="12"/>
      <c r="J149" s="12"/>
      <c r="K149" s="12"/>
      <c r="L149" s="12"/>
      <c r="M149" s="11" t="s">
        <v>434</v>
      </c>
    </row>
    <row r="150" spans="1:13" x14ac:dyDescent="0.2">
      <c r="A150" s="11" t="s">
        <v>435</v>
      </c>
      <c r="B150" s="11" t="s">
        <v>431</v>
      </c>
      <c r="C150" s="11" t="s">
        <v>45</v>
      </c>
      <c r="D150" s="11" t="s">
        <v>436</v>
      </c>
      <c r="E150" s="11" t="s">
        <v>437</v>
      </c>
      <c r="F150" s="11" t="s">
        <v>42</v>
      </c>
      <c r="G150" s="11" t="s">
        <v>8</v>
      </c>
      <c r="H150" s="11">
        <v>8</v>
      </c>
      <c r="I150" s="12"/>
      <c r="J150" s="12"/>
      <c r="K150" s="12"/>
      <c r="L150" s="12"/>
      <c r="M150" s="11" t="s">
        <v>438</v>
      </c>
    </row>
    <row r="151" spans="1:13" x14ac:dyDescent="0.2">
      <c r="A151" s="11" t="s">
        <v>439</v>
      </c>
      <c r="B151" s="11" t="s">
        <v>435</v>
      </c>
      <c r="C151" s="11" t="s">
        <v>49</v>
      </c>
      <c r="D151" s="11" t="s">
        <v>436</v>
      </c>
      <c r="E151" s="11" t="s">
        <v>440</v>
      </c>
      <c r="F151" s="11" t="s">
        <v>42</v>
      </c>
      <c r="G151" s="11" t="s">
        <v>8</v>
      </c>
      <c r="H151" s="11">
        <v>3</v>
      </c>
      <c r="I151" s="12"/>
      <c r="J151" s="12"/>
      <c r="K151" s="12"/>
      <c r="L151" s="12"/>
      <c r="M151" s="11" t="s">
        <v>441</v>
      </c>
    </row>
    <row r="152" spans="1:13" x14ac:dyDescent="0.2">
      <c r="A152" s="11" t="s">
        <v>442</v>
      </c>
      <c r="B152" s="11" t="s">
        <v>435</v>
      </c>
      <c r="C152" s="11" t="s">
        <v>49</v>
      </c>
      <c r="D152" s="11" t="s">
        <v>436</v>
      </c>
      <c r="E152" s="11" t="s">
        <v>443</v>
      </c>
      <c r="F152" s="11" t="s">
        <v>42</v>
      </c>
      <c r="G152" s="11" t="s">
        <v>8</v>
      </c>
      <c r="H152" s="11">
        <v>5</v>
      </c>
      <c r="I152" s="12"/>
      <c r="J152" s="12"/>
      <c r="K152" s="12"/>
      <c r="L152" s="12"/>
      <c r="M152" s="11" t="s">
        <v>441</v>
      </c>
    </row>
    <row r="153" spans="1:13" x14ac:dyDescent="0.2">
      <c r="A153" s="11" t="s">
        <v>444</v>
      </c>
      <c r="B153" s="11" t="s">
        <v>435</v>
      </c>
      <c r="C153" s="11" t="s">
        <v>49</v>
      </c>
      <c r="D153" s="11" t="s">
        <v>436</v>
      </c>
      <c r="E153" s="11" t="s">
        <v>445</v>
      </c>
      <c r="F153" s="11" t="s">
        <v>42</v>
      </c>
      <c r="G153" s="11" t="s">
        <v>8</v>
      </c>
      <c r="H153" s="11">
        <v>5</v>
      </c>
      <c r="I153" s="12"/>
      <c r="J153" s="12"/>
      <c r="K153" s="12"/>
      <c r="L153" s="12"/>
      <c r="M153" s="11" t="s">
        <v>441</v>
      </c>
    </row>
    <row r="154" spans="1:13" x14ac:dyDescent="0.2">
      <c r="A154" s="11" t="s">
        <v>446</v>
      </c>
      <c r="B154" s="11" t="s">
        <v>431</v>
      </c>
      <c r="C154" s="11" t="s">
        <v>45</v>
      </c>
      <c r="D154" s="11" t="s">
        <v>436</v>
      </c>
      <c r="E154" s="11" t="s">
        <v>563</v>
      </c>
      <c r="F154" s="11" t="s">
        <v>42</v>
      </c>
      <c r="G154" s="11" t="s">
        <v>8</v>
      </c>
      <c r="H154" s="11">
        <v>8</v>
      </c>
      <c r="I154" s="12"/>
      <c r="J154" s="12"/>
      <c r="K154" s="12"/>
      <c r="L154" s="12"/>
      <c r="M154" s="11" t="s">
        <v>564</v>
      </c>
    </row>
    <row r="155" spans="1:13" x14ac:dyDescent="0.2">
      <c r="A155" s="11" t="s">
        <v>447</v>
      </c>
      <c r="B155" s="11" t="s">
        <v>446</v>
      </c>
      <c r="C155" s="11" t="s">
        <v>49</v>
      </c>
      <c r="D155" s="11" t="s">
        <v>436</v>
      </c>
      <c r="E155" s="11" t="s">
        <v>565</v>
      </c>
      <c r="F155" s="11" t="s">
        <v>42</v>
      </c>
      <c r="G155" s="11" t="s">
        <v>8</v>
      </c>
      <c r="H155" s="11">
        <v>3</v>
      </c>
      <c r="I155" s="12"/>
      <c r="J155" s="12"/>
      <c r="K155" s="12"/>
      <c r="L155" s="12"/>
      <c r="M155" s="11" t="s">
        <v>441</v>
      </c>
    </row>
    <row r="156" spans="1:13" x14ac:dyDescent="0.2">
      <c r="A156" s="11" t="s">
        <v>448</v>
      </c>
      <c r="B156" s="11" t="s">
        <v>446</v>
      </c>
      <c r="C156" s="11" t="s">
        <v>49</v>
      </c>
      <c r="D156" s="11" t="s">
        <v>436</v>
      </c>
      <c r="E156" s="11" t="s">
        <v>449</v>
      </c>
      <c r="F156" s="11" t="s">
        <v>42</v>
      </c>
      <c r="G156" s="11" t="s">
        <v>8</v>
      </c>
      <c r="H156" s="11">
        <v>5</v>
      </c>
      <c r="I156" s="12"/>
      <c r="J156" s="12"/>
      <c r="K156" s="12"/>
      <c r="L156" s="12"/>
      <c r="M156" s="11" t="s">
        <v>441</v>
      </c>
    </row>
    <row r="157" spans="1:13" x14ac:dyDescent="0.2">
      <c r="A157" s="11" t="s">
        <v>450</v>
      </c>
      <c r="B157" s="11" t="s">
        <v>446</v>
      </c>
      <c r="C157" s="11" t="s">
        <v>49</v>
      </c>
      <c r="D157" s="11" t="s">
        <v>436</v>
      </c>
      <c r="E157" s="11" t="s">
        <v>451</v>
      </c>
      <c r="F157" s="11" t="s">
        <v>42</v>
      </c>
      <c r="G157" s="11" t="s">
        <v>8</v>
      </c>
      <c r="H157" s="11">
        <v>5</v>
      </c>
      <c r="I157" s="12"/>
      <c r="J157" s="12"/>
      <c r="K157" s="12"/>
      <c r="L157" s="12"/>
      <c r="M157" s="11" t="s">
        <v>441</v>
      </c>
    </row>
    <row r="158" spans="1:13" x14ac:dyDescent="0.2">
      <c r="A158" s="11" t="s">
        <v>452</v>
      </c>
      <c r="B158" s="11" t="s">
        <v>431</v>
      </c>
      <c r="C158" s="11" t="s">
        <v>45</v>
      </c>
      <c r="D158" s="11" t="s">
        <v>436</v>
      </c>
      <c r="E158" s="11" t="s">
        <v>453</v>
      </c>
      <c r="F158" s="11" t="s">
        <v>42</v>
      </c>
      <c r="G158" s="11" t="s">
        <v>8</v>
      </c>
      <c r="H158" s="11">
        <v>5</v>
      </c>
      <c r="I158" s="12"/>
      <c r="J158" s="12"/>
      <c r="K158" s="12"/>
      <c r="L158" s="12"/>
      <c r="M158" s="11" t="s">
        <v>454</v>
      </c>
    </row>
    <row r="159" spans="1:13" x14ac:dyDescent="0.2">
      <c r="A159" s="11" t="s">
        <v>455</v>
      </c>
      <c r="B159" s="11" t="s">
        <v>452</v>
      </c>
      <c r="C159" s="11" t="s">
        <v>49</v>
      </c>
      <c r="D159" s="11" t="s">
        <v>436</v>
      </c>
      <c r="E159" s="11" t="s">
        <v>456</v>
      </c>
      <c r="F159" s="11" t="s">
        <v>42</v>
      </c>
      <c r="G159" s="11" t="s">
        <v>8</v>
      </c>
      <c r="H159" s="11">
        <v>3</v>
      </c>
      <c r="I159" s="12"/>
      <c r="J159" s="12"/>
      <c r="K159" s="12"/>
      <c r="L159" s="12"/>
      <c r="M159" s="11" t="s">
        <v>441</v>
      </c>
    </row>
    <row r="160" spans="1:13" x14ac:dyDescent="0.2">
      <c r="A160" s="11" t="s">
        <v>457</v>
      </c>
      <c r="B160" s="11" t="s">
        <v>452</v>
      </c>
      <c r="C160" s="11" t="s">
        <v>49</v>
      </c>
      <c r="D160" s="11" t="s">
        <v>436</v>
      </c>
      <c r="E160" s="11" t="s">
        <v>458</v>
      </c>
      <c r="F160" s="11" t="s">
        <v>42</v>
      </c>
      <c r="G160" s="11" t="s">
        <v>8</v>
      </c>
      <c r="H160" s="11">
        <v>3</v>
      </c>
      <c r="I160" s="12"/>
      <c r="J160" s="12"/>
      <c r="K160" s="12"/>
      <c r="L160" s="12"/>
      <c r="M160" s="11" t="s">
        <v>441</v>
      </c>
    </row>
    <row r="161" spans="1:13" x14ac:dyDescent="0.2">
      <c r="A161" s="11" t="s">
        <v>459</v>
      </c>
      <c r="B161" s="11" t="s">
        <v>452</v>
      </c>
      <c r="C161" s="11" t="s">
        <v>49</v>
      </c>
      <c r="D161" s="11" t="s">
        <v>436</v>
      </c>
      <c r="E161" s="11" t="s">
        <v>460</v>
      </c>
      <c r="F161" s="11" t="s">
        <v>42</v>
      </c>
      <c r="G161" s="11" t="s">
        <v>8</v>
      </c>
      <c r="H161" s="11">
        <v>3</v>
      </c>
      <c r="I161" s="12"/>
      <c r="J161" s="12"/>
      <c r="K161" s="12"/>
      <c r="L161" s="12"/>
      <c r="M161" s="11" t="s">
        <v>441</v>
      </c>
    </row>
  </sheetData>
  <phoneticPr fontId="9" type="noConversion"/>
  <conditionalFormatting sqref="A2:M660">
    <cfRule type="expression" dxfId="4" priority="2">
      <formula>$G2="Backlog"</formula>
    </cfRule>
    <cfRule type="expression" dxfId="3" priority="3">
      <formula>$G2="Ready"</formula>
    </cfRule>
    <cfRule type="expression" dxfId="2" priority="4">
      <formula>$G2="In Progress"</formula>
    </cfRule>
    <cfRule type="expression" dxfId="1" priority="5">
      <formula>$G2="Testing"</formula>
    </cfRule>
    <cfRule type="expression" dxfId="0" priority="6">
      <formula>$G2="Done"</formula>
    </cfRule>
  </conditionalFormatting>
  <dataValidations count="4">
    <dataValidation type="list" allowBlank="1" showInputMessage="1" showErrorMessage="1" sqref="C2:C161" xr:uid="{23E6FF06-BEA4-FC4E-AF7B-A7FE822B0BC4}">
      <formula1>LU_Types</formula1>
    </dataValidation>
    <dataValidation type="list" allowBlank="1" showInputMessage="1" showErrorMessage="1" sqref="D2:D161" xr:uid="{729DFF82-1B3B-8A40-B9EF-015E96D8D704}">
      <formula1>LU_Modules</formula1>
    </dataValidation>
    <dataValidation type="list" allowBlank="1" showInputMessage="1" showErrorMessage="1" sqref="G2:G161" xr:uid="{F4D50323-4D13-C14A-B868-25B4031885EB}">
      <formula1>LU_Statuses</formula1>
    </dataValidation>
    <dataValidation type="list" allowBlank="1" showInputMessage="1" showErrorMessage="1" sqref="H2:H161" xr:uid="{62AB5746-77C8-B049-8750-C02D449A5D88}">
      <formula1>LU_StoryPoints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0000000}">
          <x14:formula1>
            <xm:f>'Lookup Values'!$A$2:$A$5</xm:f>
          </x14:formula1>
          <x14:formula2>
            <xm:f>0</xm:f>
          </x14:formula2>
          <xm:sqref>C162:C660</xm:sqref>
        </x14:dataValidation>
        <x14:dataValidation type="list" xr:uid="{00000000-0002-0000-0100-000001000000}">
          <x14:formula1>
            <xm:f>'Lookup Values'!$C$2:$C$6</xm:f>
          </x14:formula1>
          <x14:formula2>
            <xm:f>0</xm:f>
          </x14:formula2>
          <xm:sqref>G162:G660</xm:sqref>
        </x14:dataValidation>
        <x14:dataValidation type="list" allowBlank="1" xr:uid="{00000000-0002-0000-0100-000002000000}">
          <x14:formula1>
            <xm:f>'Lookup Values'!$E$2:$E$9</xm:f>
          </x14:formula1>
          <x14:formula2>
            <xm:f>0</xm:f>
          </x14:formula2>
          <xm:sqref>H162:H660</xm:sqref>
        </x14:dataValidation>
        <x14:dataValidation type="list" xr:uid="{00000000-0002-0000-0100-000003000000}">
          <x14:formula1>
            <xm:f>'Team Members'!$A$2:$A$11</xm:f>
          </x14:formula1>
          <x14:formula2>
            <xm:f>0</xm:f>
          </x14:formula2>
          <xm:sqref>F2:F660</xm:sqref>
        </x14:dataValidation>
        <x14:dataValidation type="list" xr:uid="{00000000-0002-0000-0100-000004000000}">
          <x14:formula1>
            <xm:f>'Lookup Values'!$G$2:$G$20</xm:f>
          </x14:formula1>
          <x14:formula2>
            <xm:f>0</xm:f>
          </x14:formula2>
          <xm:sqref>D162:D660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E11"/>
  <sheetViews>
    <sheetView showGridLines="0" zoomScaleNormal="100" workbookViewId="0">
      <pane ySplit="1" topLeftCell="A2" activePane="bottomLeft" state="frozen"/>
      <selection pane="bottomLeft" activeCell="A11" sqref="A11"/>
    </sheetView>
  </sheetViews>
  <sheetFormatPr baseColWidth="10" defaultColWidth="8.6640625" defaultRowHeight="15" x14ac:dyDescent="0.2"/>
  <cols>
    <col min="1" max="1" width="18" customWidth="1"/>
    <col min="2" max="2" width="20" customWidth="1"/>
    <col min="3" max="3" width="22" customWidth="1"/>
    <col min="4" max="4" width="12" customWidth="1"/>
    <col min="5" max="5" width="30" customWidth="1"/>
  </cols>
  <sheetData>
    <row r="1" spans="1:5" x14ac:dyDescent="0.2">
      <c r="A1" s="1" t="s">
        <v>461</v>
      </c>
      <c r="B1" s="1" t="s">
        <v>462</v>
      </c>
      <c r="C1" s="1" t="s">
        <v>463</v>
      </c>
      <c r="D1" s="1" t="s">
        <v>464</v>
      </c>
      <c r="E1" s="1" t="s">
        <v>38</v>
      </c>
    </row>
    <row r="2" spans="1:5" x14ac:dyDescent="0.2">
      <c r="A2" s="2" t="s">
        <v>18</v>
      </c>
      <c r="B2" s="2" t="s">
        <v>42</v>
      </c>
      <c r="C2" s="2" t="s">
        <v>42</v>
      </c>
      <c r="D2" s="2" t="s">
        <v>465</v>
      </c>
      <c r="E2" s="2" t="s">
        <v>466</v>
      </c>
    </row>
    <row r="3" spans="1:5" x14ac:dyDescent="0.2">
      <c r="A3" s="2" t="s">
        <v>467</v>
      </c>
      <c r="B3" s="2" t="s">
        <v>42</v>
      </c>
      <c r="C3" s="2" t="s">
        <v>42</v>
      </c>
      <c r="D3" s="2" t="s">
        <v>465</v>
      </c>
      <c r="E3" s="2" t="s">
        <v>466</v>
      </c>
    </row>
    <row r="4" spans="1:5" x14ac:dyDescent="0.2">
      <c r="A4" s="2" t="s">
        <v>468</v>
      </c>
      <c r="B4" s="2" t="s">
        <v>42</v>
      </c>
      <c r="C4" s="2" t="s">
        <v>42</v>
      </c>
      <c r="D4" s="2" t="s">
        <v>465</v>
      </c>
      <c r="E4" s="2" t="s">
        <v>466</v>
      </c>
    </row>
    <row r="5" spans="1:5" x14ac:dyDescent="0.2">
      <c r="A5" s="2" t="s">
        <v>469</v>
      </c>
      <c r="B5" s="2" t="s">
        <v>42</v>
      </c>
      <c r="C5" s="2" t="s">
        <v>42</v>
      </c>
      <c r="D5" s="2" t="s">
        <v>465</v>
      </c>
      <c r="E5" s="2" t="s">
        <v>466</v>
      </c>
    </row>
    <row r="6" spans="1:5" x14ac:dyDescent="0.2">
      <c r="A6" s="2" t="s">
        <v>470</v>
      </c>
      <c r="B6" s="2" t="s">
        <v>42</v>
      </c>
      <c r="C6" s="2" t="s">
        <v>42</v>
      </c>
      <c r="D6" s="2" t="s">
        <v>465</v>
      </c>
      <c r="E6" s="2" t="s">
        <v>466</v>
      </c>
    </row>
    <row r="7" spans="1:5" x14ac:dyDescent="0.2">
      <c r="A7" s="2" t="s">
        <v>471</v>
      </c>
      <c r="B7" s="2" t="s">
        <v>42</v>
      </c>
      <c r="C7" s="2" t="s">
        <v>42</v>
      </c>
      <c r="D7" s="2" t="s">
        <v>465</v>
      </c>
      <c r="E7" s="2" t="s">
        <v>466</v>
      </c>
    </row>
    <row r="8" spans="1:5" x14ac:dyDescent="0.2">
      <c r="A8" s="2" t="s">
        <v>472</v>
      </c>
      <c r="B8" s="2" t="s">
        <v>42</v>
      </c>
      <c r="C8" s="2" t="s">
        <v>42</v>
      </c>
      <c r="D8" s="2" t="s">
        <v>465</v>
      </c>
      <c r="E8" s="2" t="s">
        <v>466</v>
      </c>
    </row>
    <row r="9" spans="1:5" x14ac:dyDescent="0.2">
      <c r="A9" s="2" t="s">
        <v>473</v>
      </c>
      <c r="B9" s="2" t="s">
        <v>42</v>
      </c>
      <c r="C9" s="2" t="s">
        <v>42</v>
      </c>
      <c r="D9" s="2" t="s">
        <v>465</v>
      </c>
      <c r="E9" s="2" t="s">
        <v>466</v>
      </c>
    </row>
    <row r="10" spans="1:5" x14ac:dyDescent="0.2">
      <c r="A10" s="2" t="s">
        <v>474</v>
      </c>
      <c r="B10" s="2" t="s">
        <v>42</v>
      </c>
      <c r="C10" s="2" t="s">
        <v>42</v>
      </c>
      <c r="D10" s="2" t="s">
        <v>465</v>
      </c>
      <c r="E10" s="2" t="s">
        <v>466</v>
      </c>
    </row>
    <row r="11" spans="1:5" x14ac:dyDescent="0.2">
      <c r="A11" s="2" t="s">
        <v>42</v>
      </c>
      <c r="B11" s="2" t="s">
        <v>475</v>
      </c>
      <c r="C11" s="2" t="s">
        <v>42</v>
      </c>
      <c r="D11" s="2" t="s">
        <v>476</v>
      </c>
      <c r="E11" s="2" t="s">
        <v>477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183"/>
  </sheetPr>
  <dimension ref="A1:J168"/>
  <sheetViews>
    <sheetView showGridLines="0" zoomScaleNormal="100" workbookViewId="0">
      <selection sqref="A1:J1"/>
    </sheetView>
  </sheetViews>
  <sheetFormatPr baseColWidth="10" defaultColWidth="8.6640625" defaultRowHeight="15" x14ac:dyDescent="0.2"/>
  <cols>
    <col min="1" max="1" width="28" customWidth="1"/>
    <col min="2" max="2" width="2" customWidth="1"/>
    <col min="3" max="3" width="28" customWidth="1"/>
    <col min="4" max="4" width="2" customWidth="1"/>
    <col min="5" max="5" width="28" customWidth="1"/>
    <col min="6" max="6" width="2" customWidth="1"/>
    <col min="7" max="7" width="28" customWidth="1"/>
    <col min="8" max="8" width="2" customWidth="1"/>
    <col min="9" max="9" width="28" customWidth="1"/>
    <col min="10" max="10" width="2" customWidth="1"/>
  </cols>
  <sheetData>
    <row r="1" spans="1:10" ht="30" customHeight="1" x14ac:dyDescent="0.2">
      <c r="A1" s="21" t="s">
        <v>478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2">
      <c r="A3" s="17" t="s">
        <v>8</v>
      </c>
      <c r="B3" s="17"/>
      <c r="C3" s="22" t="s">
        <v>9</v>
      </c>
      <c r="D3" s="22"/>
      <c r="E3" s="23" t="s">
        <v>10</v>
      </c>
      <c r="F3" s="23"/>
      <c r="G3" s="24" t="s">
        <v>11</v>
      </c>
      <c r="H3" s="24"/>
      <c r="I3" s="25" t="s">
        <v>12</v>
      </c>
      <c r="J3" s="25"/>
    </row>
    <row r="4" spans="1:10" ht="36" customHeight="1" x14ac:dyDescent="0.2">
      <c r="A4" s="16" t="str">
        <f>IFERROR(INDEX(Tickets!$A$2:$A$161,_xlfn.AGGREGATE(15,6,(ROW(Tickets!$G$2:$G$161)-ROW(Tickets!$G$2)+1)/(Tickets!$G$2:$G$161=$A$3),ROWS($A$4:A4)))&amp;" - "&amp;INDEX(Tickets!$E$2:$E$161,_xlfn.AGGREGATE(15,6,(ROW(Tickets!$G$2:$G$161)-ROW(Tickets!$G$2)+1)/(Tickets!$G$2:$G$161=$A$3),ROWS($A$4:A4))),"")</f>
        <v>WPT-011 - Registration and Login</v>
      </c>
      <c r="B4" s="2"/>
      <c r="C4" s="16" t="str">
        <f>IFERROR(INDEX(Tickets!$A$2:$A$161,_xlfn.AGGREGATE(15,6,(ROW(Tickets!$G$2:$G$161)-ROW(Tickets!$G$2)+1)/(Tickets!$G$2:$G$161=$C$3),ROWS($C$4:C4)))&amp;" - "&amp;INDEX(Tickets!$E$2:$E$161,_xlfn.AGGREGATE(15,6,(ROW(Tickets!$G$2:$G$161)-ROW(Tickets!$G$2)+1)/(Tickets!$G$2:$G$161=$C$3),ROWS($C$4:C4))),"")</f>
        <v/>
      </c>
      <c r="D4" s="2"/>
      <c r="E4" s="16" t="str">
        <f>IFERROR(INDEX(Tickets!$A$2:$A$161,_xlfn.AGGREGATE(15,6,(ROW(Tickets!$G$2:$G$161)-ROW(Tickets!$G$2)+1)/(Tickets!$G$2:$G$161=$E$3),ROWS($E$4:E4)))&amp;" - "&amp;INDEX(Tickets!$E$2:$E$161,_xlfn.AGGREGATE(15,6,(ROW(Tickets!$G$2:$G$161)-ROW(Tickets!$G$2)+1)/(Tickets!$G$2:$G$161=$E$3),ROWS($E$4:E4))),"")</f>
        <v>WPT-006 - Create environment configuration</v>
      </c>
      <c r="F4" s="2"/>
      <c r="G4" s="16" t="str">
        <f>IFERROR(INDEX(Tickets!$A$2:$A$161,_xlfn.AGGREGATE(15,6,(ROW(Tickets!$G$2:$G$161)-ROW(Tickets!$G$2)+1)/(Tickets!$G$2:$G$161=$G$3),ROWS($G$4:G4)))&amp;" - "&amp;INDEX(Tickets!$E$2:$E$161,_xlfn.AGGREGATE(15,6,(ROW(Tickets!$G$2:$G$161)-ROW(Tickets!$G$2)+1)/(Tickets!$G$2:$G$161=$G$3),ROWS($G$4:G4))),"")</f>
        <v/>
      </c>
      <c r="H4" s="2"/>
      <c r="I4" s="16" t="str">
        <f>IFERROR(INDEX(Tickets!$A$2:$A$161,_xlfn.AGGREGATE(15,6,(ROW(Tickets!$G$2:$G$161)-ROW(Tickets!$G$2)+1)/(Tickets!$G$2:$G$161=$I$3),ROWS($I$4:I4)))&amp;" - "&amp;INDEX(Tickets!$E$2:$E$161,_xlfn.AGGREGATE(15,6,(ROW(Tickets!$G$2:$G$161)-ROW(Tickets!$G$2)+1)/(Tickets!$G$2:$G$161=$I$3),ROWS($I$4:I4))),"")</f>
        <v>WPT-001 - WayPoint Application Foundation</v>
      </c>
      <c r="J4" s="2"/>
    </row>
    <row r="5" spans="1:10" ht="36" customHeight="1" x14ac:dyDescent="0.2">
      <c r="A5" s="16" t="str">
        <f>IFERROR(INDEX(Tickets!$A$2:$A$161,_xlfn.AGGREGATE(15,6,(ROW(Tickets!$G$2:$G$161)-ROW(Tickets!$G$2)+1)/(Tickets!$G$2:$G$161=$A$3),ROWS($A$4:A5)))&amp;" - "&amp;INDEX(Tickets!$E$2:$E$161,_xlfn.AGGREGATE(15,6,(ROW(Tickets!$G$2:$G$161)-ROW(Tickets!$G$2)+1)/(Tickets!$G$2:$G$161=$A$3),ROWS($A$4:A5))),"")</f>
        <v>WPT-012 - Employer registration</v>
      </c>
      <c r="B5" s="2"/>
      <c r="C5" s="16" t="str">
        <f>IFERROR(INDEX(Tickets!$A$2:$A$161,_xlfn.AGGREGATE(15,6,(ROW(Tickets!$G$2:$G$161)-ROW(Tickets!$G$2)+1)/(Tickets!$G$2:$G$161=$C$3),ROWS($C$4:C5)))&amp;" - "&amp;INDEX(Tickets!$E$2:$E$161,_xlfn.AGGREGATE(15,6,(ROW(Tickets!$G$2:$G$161)-ROW(Tickets!$G$2)+1)/(Tickets!$G$2:$G$161=$C$3),ROWS($C$4:C5))),"")</f>
        <v/>
      </c>
      <c r="D5" s="2"/>
      <c r="E5" s="16" t="str">
        <f>IFERROR(INDEX(Tickets!$A$2:$A$161,_xlfn.AGGREGATE(15,6,(ROW(Tickets!$G$2:$G$161)-ROW(Tickets!$G$2)+1)/(Tickets!$G$2:$G$161=$E$3),ROWS($E$4:E5)))&amp;" - "&amp;INDEX(Tickets!$E$2:$E$161,_xlfn.AGGREGATE(15,6,(ROW(Tickets!$G$2:$G$161)-ROW(Tickets!$G$2)+1)/(Tickets!$G$2:$G$161=$E$3),ROWS($E$4:E5))),"")</f>
        <v>WPT-007 - Create shared navigation layout</v>
      </c>
      <c r="F5" s="2"/>
      <c r="G5" s="16" t="str">
        <f>IFERROR(INDEX(Tickets!$A$2:$A$161,_xlfn.AGGREGATE(15,6,(ROW(Tickets!$G$2:$G$161)-ROW(Tickets!$G$2)+1)/(Tickets!$G$2:$G$161=$G$3),ROWS($G$4:G5)))&amp;" - "&amp;INDEX(Tickets!$E$2:$E$161,_xlfn.AGGREGATE(15,6,(ROW(Tickets!$G$2:$G$161)-ROW(Tickets!$G$2)+1)/(Tickets!$G$2:$G$161=$G$3),ROWS($G$4:G5))),"")</f>
        <v/>
      </c>
      <c r="H5" s="2"/>
      <c r="I5" s="16" t="str">
        <f>IFERROR(INDEX(Tickets!$A$2:$A$161,_xlfn.AGGREGATE(15,6,(ROW(Tickets!$G$2:$G$161)-ROW(Tickets!$G$2)+1)/(Tickets!$G$2:$G$161=$I$3),ROWS($I$4:I5)))&amp;" - "&amp;INDEX(Tickets!$E$2:$E$161,_xlfn.AGGREGATE(15,6,(ROW(Tickets!$G$2:$G$161)-ROW(Tickets!$G$2)+1)/(Tickets!$G$2:$G$161=$I$3),ROWS($I$4:I5))),"")</f>
        <v>WPT-002 - Set up React full stack project structure</v>
      </c>
      <c r="J5" s="2"/>
    </row>
    <row r="6" spans="1:10" ht="36" customHeight="1" x14ac:dyDescent="0.2">
      <c r="A6" s="16" t="str">
        <f>IFERROR(INDEX(Tickets!$A$2:$A$161,_xlfn.AGGREGATE(15,6,(ROW(Tickets!$G$2:$G$161)-ROW(Tickets!$G$2)+1)/(Tickets!$G$2:$G$161=$A$3),ROWS($A$4:A6)))&amp;" - "&amp;INDEX(Tickets!$E$2:$E$161,_xlfn.AGGREGATE(15,6,(ROW(Tickets!$G$2:$G$161)-ROW(Tickets!$G$2)+1)/(Tickets!$G$2:$G$161=$A$3),ROWS($A$4:A6))),"")</f>
        <v>WPT-013 - Create employer registration UI</v>
      </c>
      <c r="B6" s="2"/>
      <c r="C6" s="16" t="str">
        <f>IFERROR(INDEX(Tickets!$A$2:$A$161,_xlfn.AGGREGATE(15,6,(ROW(Tickets!$G$2:$G$161)-ROW(Tickets!$G$2)+1)/(Tickets!$G$2:$G$161=$C$3),ROWS($C$4:C6)))&amp;" - "&amp;INDEX(Tickets!$E$2:$E$161,_xlfn.AGGREGATE(15,6,(ROW(Tickets!$G$2:$G$161)-ROW(Tickets!$G$2)+1)/(Tickets!$G$2:$G$161=$C$3),ROWS($C$4:C6))),"")</f>
        <v/>
      </c>
      <c r="D6" s="2"/>
      <c r="E6" s="16" t="str">
        <f>IFERROR(INDEX(Tickets!$A$2:$A$161,_xlfn.AGGREGATE(15,6,(ROW(Tickets!$G$2:$G$161)-ROW(Tickets!$G$2)+1)/(Tickets!$G$2:$G$161=$E$3),ROWS($E$4:E6)))&amp;" - "&amp;INDEX(Tickets!$E$2:$E$161,_xlfn.AGGREGATE(15,6,(ROW(Tickets!$G$2:$G$161)-ROW(Tickets!$G$2)+1)/(Tickets!$G$2:$G$161=$E$3),ROWS($E$4:E6))),"")</f>
        <v>WPT-008 - Create top navigation bar</v>
      </c>
      <c r="F6" s="2"/>
      <c r="G6" s="16" t="str">
        <f>IFERROR(INDEX(Tickets!$A$2:$A$161,_xlfn.AGGREGATE(15,6,(ROW(Tickets!$G$2:$G$161)-ROW(Tickets!$G$2)+1)/(Tickets!$G$2:$G$161=$G$3),ROWS($G$4:G6)))&amp;" - "&amp;INDEX(Tickets!$E$2:$E$161,_xlfn.AGGREGATE(15,6,(ROW(Tickets!$G$2:$G$161)-ROW(Tickets!$G$2)+1)/(Tickets!$G$2:$G$161=$G$3),ROWS($G$4:G6))),"")</f>
        <v/>
      </c>
      <c r="H6" s="2"/>
      <c r="I6" s="16" t="str">
        <f>IFERROR(INDEX(Tickets!$A$2:$A$161,_xlfn.AGGREGATE(15,6,(ROW(Tickets!$G$2:$G$161)-ROW(Tickets!$G$2)+1)/(Tickets!$G$2:$G$161=$I$3),ROWS($I$4:I6)))&amp;" - "&amp;INDEX(Tickets!$E$2:$E$161,_xlfn.AGGREGATE(15,6,(ROW(Tickets!$G$2:$G$161)-ROW(Tickets!$G$2)+1)/(Tickets!$G$2:$G$161=$I$3),ROWS($I$4:I6))),"")</f>
        <v>WPT-003 - Create frontend React application</v>
      </c>
      <c r="J6" s="2"/>
    </row>
    <row r="7" spans="1:10" ht="36" customHeight="1" x14ac:dyDescent="0.2">
      <c r="A7" s="16" t="str">
        <f>IFERROR(INDEX(Tickets!$A$2:$A$161,_xlfn.AGGREGATE(15,6,(ROW(Tickets!$G$2:$G$161)-ROW(Tickets!$G$2)+1)/(Tickets!$G$2:$G$161=$A$3),ROWS($A$4:A7)))&amp;" - "&amp;INDEX(Tickets!$E$2:$E$161,_xlfn.AGGREGATE(15,6,(ROW(Tickets!$G$2:$G$161)-ROW(Tickets!$G$2)+1)/(Tickets!$G$2:$G$161=$A$3),ROWS($A$4:A7))),"")</f>
        <v>WPT-014 - Create employer registration API</v>
      </c>
      <c r="B7" s="2"/>
      <c r="C7" s="16" t="str">
        <f>IFERROR(INDEX(Tickets!$A$2:$A$161,_xlfn.AGGREGATE(15,6,(ROW(Tickets!$G$2:$G$161)-ROW(Tickets!$G$2)+1)/(Tickets!$G$2:$G$161=$C$3),ROWS($C$4:C7)))&amp;" - "&amp;INDEX(Tickets!$E$2:$E$161,_xlfn.AGGREGATE(15,6,(ROW(Tickets!$G$2:$G$161)-ROW(Tickets!$G$2)+1)/(Tickets!$G$2:$G$161=$C$3),ROWS($C$4:C7))),"")</f>
        <v/>
      </c>
      <c r="D7" s="2"/>
      <c r="E7" s="16" t="str">
        <f>IFERROR(INDEX(Tickets!$A$2:$A$161,_xlfn.AGGREGATE(15,6,(ROW(Tickets!$G$2:$G$161)-ROW(Tickets!$G$2)+1)/(Tickets!$G$2:$G$161=$E$3),ROWS($E$4:E7)))&amp;" - "&amp;INDEX(Tickets!$E$2:$E$161,_xlfn.AGGREGATE(15,6,(ROW(Tickets!$G$2:$G$161)-ROW(Tickets!$G$2)+1)/(Tickets!$G$2:$G$161=$E$3),ROWS($E$4:E7))),"")</f>
        <v>WPT-009 - Create profile icon menu</v>
      </c>
      <c r="F7" s="2"/>
      <c r="G7" s="16" t="str">
        <f>IFERROR(INDEX(Tickets!$A$2:$A$161,_xlfn.AGGREGATE(15,6,(ROW(Tickets!$G$2:$G$161)-ROW(Tickets!$G$2)+1)/(Tickets!$G$2:$G$161=$G$3),ROWS($G$4:G7)))&amp;" - "&amp;INDEX(Tickets!$E$2:$E$161,_xlfn.AGGREGATE(15,6,(ROW(Tickets!$G$2:$G$161)-ROW(Tickets!$G$2)+1)/(Tickets!$G$2:$G$161=$G$3),ROWS($G$4:G7))),"")</f>
        <v/>
      </c>
      <c r="H7" s="2"/>
      <c r="I7" s="16" t="str">
        <f>IFERROR(INDEX(Tickets!$A$2:$A$161,_xlfn.AGGREGATE(15,6,(ROW(Tickets!$G$2:$G$161)-ROW(Tickets!$G$2)+1)/(Tickets!$G$2:$G$161=$I$3),ROWS($I$4:I7)))&amp;" - "&amp;INDEX(Tickets!$E$2:$E$161,_xlfn.AGGREGATE(15,6,(ROW(Tickets!$G$2:$G$161)-ROW(Tickets!$G$2)+1)/(Tickets!$G$2:$G$161=$I$3),ROWS($I$4:I7))),"")</f>
        <v>WPT-004 - Create backend API project</v>
      </c>
      <c r="J7" s="2"/>
    </row>
    <row r="8" spans="1:10" ht="36" customHeight="1" x14ac:dyDescent="0.2">
      <c r="A8" s="16" t="str">
        <f>IFERROR(INDEX(Tickets!$A$2:$A$161,_xlfn.AGGREGATE(15,6,(ROW(Tickets!$G$2:$G$161)-ROW(Tickets!$G$2)+1)/(Tickets!$G$2:$G$161=$A$3),ROWS($A$4:A8)))&amp;" - "&amp;INDEX(Tickets!$E$2:$E$161,_xlfn.AGGREGATE(15,6,(ROW(Tickets!$G$2:$G$161)-ROW(Tickets!$G$2)+1)/(Tickets!$G$2:$G$161=$A$3),ROWS($A$4:A8))),"")</f>
        <v>WPT-015 - Validate employer registration fields</v>
      </c>
      <c r="B8" s="2"/>
      <c r="C8" s="16" t="str">
        <f>IFERROR(INDEX(Tickets!$A$2:$A$161,_xlfn.AGGREGATE(15,6,(ROW(Tickets!$G$2:$G$161)-ROW(Tickets!$G$2)+1)/(Tickets!$G$2:$G$161=$C$3),ROWS($C$4:C8)))&amp;" - "&amp;INDEX(Tickets!$E$2:$E$161,_xlfn.AGGREGATE(15,6,(ROW(Tickets!$G$2:$G$161)-ROW(Tickets!$G$2)+1)/(Tickets!$G$2:$G$161=$C$3),ROWS($C$4:C8))),"")</f>
        <v/>
      </c>
      <c r="D8" s="2"/>
      <c r="E8" s="16" t="str">
        <f>IFERROR(INDEX(Tickets!$A$2:$A$161,_xlfn.AGGREGATE(15,6,(ROW(Tickets!$G$2:$G$161)-ROW(Tickets!$G$2)+1)/(Tickets!$G$2:$G$161=$E$3),ROWS($E$4:E8)))&amp;" - "&amp;INDEX(Tickets!$E$2:$E$161,_xlfn.AGGREGATE(15,6,(ROW(Tickets!$G$2:$G$161)-ROW(Tickets!$G$2)+1)/(Tickets!$G$2:$G$161=$E$3),ROWS($E$4:E8))),"")</f>
        <v>WPT-010 - Create reusable dashboard card component</v>
      </c>
      <c r="F8" s="2"/>
      <c r="G8" s="16" t="str">
        <f>IFERROR(INDEX(Tickets!$A$2:$A$161,_xlfn.AGGREGATE(15,6,(ROW(Tickets!$G$2:$G$161)-ROW(Tickets!$G$2)+1)/(Tickets!$G$2:$G$161=$G$3),ROWS($G$4:G8)))&amp;" - "&amp;INDEX(Tickets!$E$2:$E$161,_xlfn.AGGREGATE(15,6,(ROW(Tickets!$G$2:$G$161)-ROW(Tickets!$G$2)+1)/(Tickets!$G$2:$G$161=$G$3),ROWS($G$4:G8))),"")</f>
        <v/>
      </c>
      <c r="H8" s="2"/>
      <c r="I8" s="16" t="str">
        <f>IFERROR(INDEX(Tickets!$A$2:$A$161,_xlfn.AGGREGATE(15,6,(ROW(Tickets!$G$2:$G$161)-ROW(Tickets!$G$2)+1)/(Tickets!$G$2:$G$161=$I$3),ROWS($I$4:I8)))&amp;" - "&amp;INDEX(Tickets!$E$2:$E$161,_xlfn.AGGREGATE(15,6,(ROW(Tickets!$G$2:$G$161)-ROW(Tickets!$G$2)+1)/(Tickets!$G$2:$G$161=$I$3),ROWS($I$4:I8))),"")</f>
        <v>WPT-005 - Set up database connection</v>
      </c>
      <c r="J8" s="2"/>
    </row>
    <row r="9" spans="1:10" ht="36" customHeight="1" x14ac:dyDescent="0.2">
      <c r="A9" s="16" t="str">
        <f>IFERROR(INDEX(Tickets!$A$2:$A$161,_xlfn.AGGREGATE(15,6,(ROW(Tickets!$G$2:$G$161)-ROW(Tickets!$G$2)+1)/(Tickets!$G$2:$G$161=$A$3),ROWS($A$4:A9)))&amp;" - "&amp;INDEX(Tickets!$E$2:$E$161,_xlfn.AGGREGATE(15,6,(ROW(Tickets!$G$2:$G$161)-ROW(Tickets!$G$2)+1)/(Tickets!$G$2:$G$161=$A$3),ROWS($A$4:A9))),"")</f>
        <v>WPT-016 - Employee registration</v>
      </c>
      <c r="B9" s="2"/>
      <c r="C9" s="16" t="str">
        <f>IFERROR(INDEX(Tickets!$A$2:$A$161,_xlfn.AGGREGATE(15,6,(ROW(Tickets!$G$2:$G$161)-ROW(Tickets!$G$2)+1)/(Tickets!$G$2:$G$161=$C$3),ROWS($C$4:C9)))&amp;" - "&amp;INDEX(Tickets!$E$2:$E$161,_xlfn.AGGREGATE(15,6,(ROW(Tickets!$G$2:$G$161)-ROW(Tickets!$G$2)+1)/(Tickets!$G$2:$G$161=$C$3),ROWS($C$4:C9))),"")</f>
        <v/>
      </c>
      <c r="D9" s="2"/>
      <c r="E9" s="16" t="str">
        <f>IFERROR(INDEX(Tickets!$A$2:$A$161,_xlfn.AGGREGATE(15,6,(ROW(Tickets!$G$2:$G$161)-ROW(Tickets!$G$2)+1)/(Tickets!$G$2:$G$161=$E$3),ROWS($E$4:E9)))&amp;" - "&amp;INDEX(Tickets!$E$2:$E$161,_xlfn.AGGREGATE(15,6,(ROW(Tickets!$G$2:$G$161)-ROW(Tickets!$G$2)+1)/(Tickets!$G$2:$G$161=$E$3),ROWS($E$4:E9))),"")</f>
        <v/>
      </c>
      <c r="F9" s="2"/>
      <c r="G9" s="16" t="str">
        <f>IFERROR(INDEX(Tickets!$A$2:$A$161,_xlfn.AGGREGATE(15,6,(ROW(Tickets!$G$2:$G$161)-ROW(Tickets!$G$2)+1)/(Tickets!$G$2:$G$161=$G$3),ROWS($G$4:G9)))&amp;" - "&amp;INDEX(Tickets!$E$2:$E$161,_xlfn.AGGREGATE(15,6,(ROW(Tickets!$G$2:$G$161)-ROW(Tickets!$G$2)+1)/(Tickets!$G$2:$G$161=$G$3),ROWS($G$4:G9))),"")</f>
        <v/>
      </c>
      <c r="H9" s="2"/>
      <c r="I9" s="16" t="str">
        <f>IFERROR(INDEX(Tickets!$A$2:$A$161,_xlfn.AGGREGATE(15,6,(ROW(Tickets!$G$2:$G$161)-ROW(Tickets!$G$2)+1)/(Tickets!$G$2:$G$161=$I$3),ROWS($I$4:I9)))&amp;" - "&amp;INDEX(Tickets!$E$2:$E$161,_xlfn.AGGREGATE(15,6,(ROW(Tickets!$G$2:$G$161)-ROW(Tickets!$G$2)+1)/(Tickets!$G$2:$G$161=$I$3),ROWS($I$4:I9))),"")</f>
        <v/>
      </c>
      <c r="J9" s="2"/>
    </row>
    <row r="10" spans="1:10" ht="36" customHeight="1" x14ac:dyDescent="0.2">
      <c r="A10" s="16" t="str">
        <f>IFERROR(INDEX(Tickets!$A$2:$A$161,_xlfn.AGGREGATE(15,6,(ROW(Tickets!$G$2:$G$161)-ROW(Tickets!$G$2)+1)/(Tickets!$G$2:$G$161=$A$3),ROWS($A$4:A10)))&amp;" - "&amp;INDEX(Tickets!$E$2:$E$161,_xlfn.AGGREGATE(15,6,(ROW(Tickets!$G$2:$G$161)-ROW(Tickets!$G$2)+1)/(Tickets!$G$2:$G$161=$A$3),ROWS($A$4:A10))),"")</f>
        <v>WPT-017 - Create Employee registration UI</v>
      </c>
      <c r="B10" s="2"/>
      <c r="C10" s="16" t="str">
        <f>IFERROR(INDEX(Tickets!$A$2:$A$161,_xlfn.AGGREGATE(15,6,(ROW(Tickets!$G$2:$G$161)-ROW(Tickets!$G$2)+1)/(Tickets!$G$2:$G$161=$C$3),ROWS($C$4:C10)))&amp;" - "&amp;INDEX(Tickets!$E$2:$E$161,_xlfn.AGGREGATE(15,6,(ROW(Tickets!$G$2:$G$161)-ROW(Tickets!$G$2)+1)/(Tickets!$G$2:$G$161=$C$3),ROWS($C$4:C10))),"")</f>
        <v/>
      </c>
      <c r="D10" s="2"/>
      <c r="E10" s="16" t="str">
        <f>IFERROR(INDEX(Tickets!$A$2:$A$161,_xlfn.AGGREGATE(15,6,(ROW(Tickets!$G$2:$G$161)-ROW(Tickets!$G$2)+1)/(Tickets!$G$2:$G$161=$E$3),ROWS($E$4:E10)))&amp;" - "&amp;INDEX(Tickets!$E$2:$E$161,_xlfn.AGGREGATE(15,6,(ROW(Tickets!$G$2:$G$161)-ROW(Tickets!$G$2)+1)/(Tickets!$G$2:$G$161=$E$3),ROWS($E$4:E10))),"")</f>
        <v/>
      </c>
      <c r="F10" s="2"/>
      <c r="G10" s="16" t="str">
        <f>IFERROR(INDEX(Tickets!$A$2:$A$161,_xlfn.AGGREGATE(15,6,(ROW(Tickets!$G$2:$G$161)-ROW(Tickets!$G$2)+1)/(Tickets!$G$2:$G$161=$G$3),ROWS($G$4:G10)))&amp;" - "&amp;INDEX(Tickets!$E$2:$E$161,_xlfn.AGGREGATE(15,6,(ROW(Tickets!$G$2:$G$161)-ROW(Tickets!$G$2)+1)/(Tickets!$G$2:$G$161=$G$3),ROWS($G$4:G10))),"")</f>
        <v/>
      </c>
      <c r="H10" s="2"/>
      <c r="I10" s="16" t="str">
        <f>IFERROR(INDEX(Tickets!$A$2:$A$161,_xlfn.AGGREGATE(15,6,(ROW(Tickets!$G$2:$G$161)-ROW(Tickets!$G$2)+1)/(Tickets!$G$2:$G$161=$I$3),ROWS($I$4:I10)))&amp;" - "&amp;INDEX(Tickets!$E$2:$E$161,_xlfn.AGGREGATE(15,6,(ROW(Tickets!$G$2:$G$161)-ROW(Tickets!$G$2)+1)/(Tickets!$G$2:$G$161=$I$3),ROWS($I$4:I10))),"")</f>
        <v/>
      </c>
      <c r="J10" s="2"/>
    </row>
    <row r="11" spans="1:10" ht="36" customHeight="1" x14ac:dyDescent="0.2">
      <c r="A11" s="16" t="str">
        <f>IFERROR(INDEX(Tickets!$A$2:$A$161,_xlfn.AGGREGATE(15,6,(ROW(Tickets!$G$2:$G$161)-ROW(Tickets!$G$2)+1)/(Tickets!$G$2:$G$161=$A$3),ROWS($A$4:A11)))&amp;" - "&amp;INDEX(Tickets!$E$2:$E$161,_xlfn.AGGREGATE(15,6,(ROW(Tickets!$G$2:$G$161)-ROW(Tickets!$G$2)+1)/(Tickets!$G$2:$G$161=$A$3),ROWS($A$4:A11))),"")</f>
        <v>WPT-018 - Create Employee registration API</v>
      </c>
      <c r="B11" s="2"/>
      <c r="C11" s="16" t="str">
        <f>IFERROR(INDEX(Tickets!$A$2:$A$161,_xlfn.AGGREGATE(15,6,(ROW(Tickets!$G$2:$G$161)-ROW(Tickets!$G$2)+1)/(Tickets!$G$2:$G$161=$C$3),ROWS($C$4:C11)))&amp;" - "&amp;INDEX(Tickets!$E$2:$E$161,_xlfn.AGGREGATE(15,6,(ROW(Tickets!$G$2:$G$161)-ROW(Tickets!$G$2)+1)/(Tickets!$G$2:$G$161=$C$3),ROWS($C$4:C11))),"")</f>
        <v/>
      </c>
      <c r="D11" s="2"/>
      <c r="E11" s="16" t="str">
        <f>IFERROR(INDEX(Tickets!$A$2:$A$161,_xlfn.AGGREGATE(15,6,(ROW(Tickets!$G$2:$G$161)-ROW(Tickets!$G$2)+1)/(Tickets!$G$2:$G$161=$E$3),ROWS($E$4:E11)))&amp;" - "&amp;INDEX(Tickets!$E$2:$E$161,_xlfn.AGGREGATE(15,6,(ROW(Tickets!$G$2:$G$161)-ROW(Tickets!$G$2)+1)/(Tickets!$G$2:$G$161=$E$3),ROWS($E$4:E11))),"")</f>
        <v/>
      </c>
      <c r="F11" s="2"/>
      <c r="G11" s="16" t="str">
        <f>IFERROR(INDEX(Tickets!$A$2:$A$161,_xlfn.AGGREGATE(15,6,(ROW(Tickets!$G$2:$G$161)-ROW(Tickets!$G$2)+1)/(Tickets!$G$2:$G$161=$G$3),ROWS($G$4:G11)))&amp;" - "&amp;INDEX(Tickets!$E$2:$E$161,_xlfn.AGGREGATE(15,6,(ROW(Tickets!$G$2:$G$161)-ROW(Tickets!$G$2)+1)/(Tickets!$G$2:$G$161=$G$3),ROWS($G$4:G11))),"")</f>
        <v/>
      </c>
      <c r="H11" s="2"/>
      <c r="I11" s="16" t="str">
        <f>IFERROR(INDEX(Tickets!$A$2:$A$161,_xlfn.AGGREGATE(15,6,(ROW(Tickets!$G$2:$G$161)-ROW(Tickets!$G$2)+1)/(Tickets!$G$2:$G$161=$I$3),ROWS($I$4:I11)))&amp;" - "&amp;INDEX(Tickets!$E$2:$E$161,_xlfn.AGGREGATE(15,6,(ROW(Tickets!$G$2:$G$161)-ROW(Tickets!$G$2)+1)/(Tickets!$G$2:$G$161=$I$3),ROWS($I$4:I11))),"")</f>
        <v/>
      </c>
      <c r="J11" s="2"/>
    </row>
    <row r="12" spans="1:10" ht="36" customHeight="1" x14ac:dyDescent="0.2">
      <c r="A12" s="16" t="str">
        <f>IFERROR(INDEX(Tickets!$A$2:$A$161,_xlfn.AGGREGATE(15,6,(ROW(Tickets!$G$2:$G$161)-ROW(Tickets!$G$2)+1)/(Tickets!$G$2:$G$161=$A$3),ROWS($A$4:A12)))&amp;" - "&amp;INDEX(Tickets!$E$2:$E$161,_xlfn.AGGREGATE(15,6,(ROW(Tickets!$G$2:$G$161)-ROW(Tickets!$G$2)+1)/(Tickets!$G$2:$G$161=$A$3),ROWS($A$4:A12))),"")</f>
        <v>WPT-019 - Validate Employee registration fields</v>
      </c>
      <c r="B12" s="2"/>
      <c r="C12" s="16" t="str">
        <f>IFERROR(INDEX(Tickets!$A$2:$A$161,_xlfn.AGGREGATE(15,6,(ROW(Tickets!$G$2:$G$161)-ROW(Tickets!$G$2)+1)/(Tickets!$G$2:$G$161=$C$3),ROWS($C$4:C12)))&amp;" - "&amp;INDEX(Tickets!$E$2:$E$161,_xlfn.AGGREGATE(15,6,(ROW(Tickets!$G$2:$G$161)-ROW(Tickets!$G$2)+1)/(Tickets!$G$2:$G$161=$C$3),ROWS($C$4:C12))),"")</f>
        <v/>
      </c>
      <c r="D12" s="2"/>
      <c r="E12" s="16" t="str">
        <f>IFERROR(INDEX(Tickets!$A$2:$A$161,_xlfn.AGGREGATE(15,6,(ROW(Tickets!$G$2:$G$161)-ROW(Tickets!$G$2)+1)/(Tickets!$G$2:$G$161=$E$3),ROWS($E$4:E12)))&amp;" - "&amp;INDEX(Tickets!$E$2:$E$161,_xlfn.AGGREGATE(15,6,(ROW(Tickets!$G$2:$G$161)-ROW(Tickets!$G$2)+1)/(Tickets!$G$2:$G$161=$E$3),ROWS($E$4:E12))),"")</f>
        <v/>
      </c>
      <c r="F12" s="2"/>
      <c r="G12" s="16" t="str">
        <f>IFERROR(INDEX(Tickets!$A$2:$A$161,_xlfn.AGGREGATE(15,6,(ROW(Tickets!$G$2:$G$161)-ROW(Tickets!$G$2)+1)/(Tickets!$G$2:$G$161=$G$3),ROWS($G$4:G12)))&amp;" - "&amp;INDEX(Tickets!$E$2:$E$161,_xlfn.AGGREGATE(15,6,(ROW(Tickets!$G$2:$G$161)-ROW(Tickets!$G$2)+1)/(Tickets!$G$2:$G$161=$G$3),ROWS($G$4:G12))),"")</f>
        <v/>
      </c>
      <c r="H12" s="2"/>
      <c r="I12" s="16" t="str">
        <f>IFERROR(INDEX(Tickets!$A$2:$A$161,_xlfn.AGGREGATE(15,6,(ROW(Tickets!$G$2:$G$161)-ROW(Tickets!$G$2)+1)/(Tickets!$G$2:$G$161=$I$3),ROWS($I$4:I12)))&amp;" - "&amp;INDEX(Tickets!$E$2:$E$161,_xlfn.AGGREGATE(15,6,(ROW(Tickets!$G$2:$G$161)-ROW(Tickets!$G$2)+1)/(Tickets!$G$2:$G$161=$I$3),ROWS($I$4:I12))),"")</f>
        <v/>
      </c>
      <c r="J12" s="2"/>
    </row>
    <row r="13" spans="1:10" ht="36" customHeight="1" x14ac:dyDescent="0.2">
      <c r="A13" s="16" t="str">
        <f>IFERROR(INDEX(Tickets!$A$2:$A$161,_xlfn.AGGREGATE(15,6,(ROW(Tickets!$G$2:$G$161)-ROW(Tickets!$G$2)+1)/(Tickets!$G$2:$G$161=$A$3),ROWS($A$4:A13)))&amp;" - "&amp;INDEX(Tickets!$E$2:$E$161,_xlfn.AGGREGATE(15,6,(ROW(Tickets!$G$2:$G$161)-ROW(Tickets!$G$2)+1)/(Tickets!$G$2:$G$161=$A$3),ROWS($A$4:A13))),"")</f>
        <v>WPT-020 - Login for employer and Employee</v>
      </c>
      <c r="B13" s="2"/>
      <c r="C13" s="16" t="str">
        <f>IFERROR(INDEX(Tickets!$A$2:$A$161,_xlfn.AGGREGATE(15,6,(ROW(Tickets!$G$2:$G$161)-ROW(Tickets!$G$2)+1)/(Tickets!$G$2:$G$161=$C$3),ROWS($C$4:C13)))&amp;" - "&amp;INDEX(Tickets!$E$2:$E$161,_xlfn.AGGREGATE(15,6,(ROW(Tickets!$G$2:$G$161)-ROW(Tickets!$G$2)+1)/(Tickets!$G$2:$G$161=$C$3),ROWS($C$4:C13))),"")</f>
        <v/>
      </c>
      <c r="D13" s="2"/>
      <c r="E13" s="16" t="str">
        <f>IFERROR(INDEX(Tickets!$A$2:$A$161,_xlfn.AGGREGATE(15,6,(ROW(Tickets!$G$2:$G$161)-ROW(Tickets!$G$2)+1)/(Tickets!$G$2:$G$161=$E$3),ROWS($E$4:E13)))&amp;" - "&amp;INDEX(Tickets!$E$2:$E$161,_xlfn.AGGREGATE(15,6,(ROW(Tickets!$G$2:$G$161)-ROW(Tickets!$G$2)+1)/(Tickets!$G$2:$G$161=$E$3),ROWS($E$4:E13))),"")</f>
        <v/>
      </c>
      <c r="F13" s="2"/>
      <c r="G13" s="16" t="str">
        <f>IFERROR(INDEX(Tickets!$A$2:$A$161,_xlfn.AGGREGATE(15,6,(ROW(Tickets!$G$2:$G$161)-ROW(Tickets!$G$2)+1)/(Tickets!$G$2:$G$161=$G$3),ROWS($G$4:G13)))&amp;" - "&amp;INDEX(Tickets!$E$2:$E$161,_xlfn.AGGREGATE(15,6,(ROW(Tickets!$G$2:$G$161)-ROW(Tickets!$G$2)+1)/(Tickets!$G$2:$G$161=$G$3),ROWS($G$4:G13))),"")</f>
        <v/>
      </c>
      <c r="H13" s="2"/>
      <c r="I13" s="16" t="str">
        <f>IFERROR(INDEX(Tickets!$A$2:$A$161,_xlfn.AGGREGATE(15,6,(ROW(Tickets!$G$2:$G$161)-ROW(Tickets!$G$2)+1)/(Tickets!$G$2:$G$161=$I$3),ROWS($I$4:I13)))&amp;" - "&amp;INDEX(Tickets!$E$2:$E$161,_xlfn.AGGREGATE(15,6,(ROW(Tickets!$G$2:$G$161)-ROW(Tickets!$G$2)+1)/(Tickets!$G$2:$G$161=$I$3),ROWS($I$4:I13))),"")</f>
        <v/>
      </c>
      <c r="J13" s="2"/>
    </row>
    <row r="14" spans="1:10" ht="36" customHeight="1" x14ac:dyDescent="0.2">
      <c r="A14" s="16" t="str">
        <f>IFERROR(INDEX(Tickets!$A$2:$A$161,_xlfn.AGGREGATE(15,6,(ROW(Tickets!$G$2:$G$161)-ROW(Tickets!$G$2)+1)/(Tickets!$G$2:$G$161=$A$3),ROWS($A$4:A14)))&amp;" - "&amp;INDEX(Tickets!$E$2:$E$161,_xlfn.AGGREGATE(15,6,(ROW(Tickets!$G$2:$G$161)-ROW(Tickets!$G$2)+1)/(Tickets!$G$2:$G$161=$A$3),ROWS($A$4:A14))),"")</f>
        <v>WPT-021 - Create login UI</v>
      </c>
      <c r="B14" s="2"/>
      <c r="C14" s="16" t="str">
        <f>IFERROR(INDEX(Tickets!$A$2:$A$161,_xlfn.AGGREGATE(15,6,(ROW(Tickets!$G$2:$G$161)-ROW(Tickets!$G$2)+1)/(Tickets!$G$2:$G$161=$C$3),ROWS($C$4:C14)))&amp;" - "&amp;INDEX(Tickets!$E$2:$E$161,_xlfn.AGGREGATE(15,6,(ROW(Tickets!$G$2:$G$161)-ROW(Tickets!$G$2)+1)/(Tickets!$G$2:$G$161=$C$3),ROWS($C$4:C14))),"")</f>
        <v/>
      </c>
      <c r="D14" s="2"/>
      <c r="E14" s="16" t="str">
        <f>IFERROR(INDEX(Tickets!$A$2:$A$161,_xlfn.AGGREGATE(15,6,(ROW(Tickets!$G$2:$G$161)-ROW(Tickets!$G$2)+1)/(Tickets!$G$2:$G$161=$E$3),ROWS($E$4:E14)))&amp;" - "&amp;INDEX(Tickets!$E$2:$E$161,_xlfn.AGGREGATE(15,6,(ROW(Tickets!$G$2:$G$161)-ROW(Tickets!$G$2)+1)/(Tickets!$G$2:$G$161=$E$3),ROWS($E$4:E14))),"")</f>
        <v/>
      </c>
      <c r="F14" s="2"/>
      <c r="G14" s="16" t="str">
        <f>IFERROR(INDEX(Tickets!$A$2:$A$161,_xlfn.AGGREGATE(15,6,(ROW(Tickets!$G$2:$G$161)-ROW(Tickets!$G$2)+1)/(Tickets!$G$2:$G$161=$G$3),ROWS($G$4:G14)))&amp;" - "&amp;INDEX(Tickets!$E$2:$E$161,_xlfn.AGGREGATE(15,6,(ROW(Tickets!$G$2:$G$161)-ROW(Tickets!$G$2)+1)/(Tickets!$G$2:$G$161=$G$3),ROWS($G$4:G14))),"")</f>
        <v/>
      </c>
      <c r="H14" s="2"/>
      <c r="I14" s="16" t="str">
        <f>IFERROR(INDEX(Tickets!$A$2:$A$161,_xlfn.AGGREGATE(15,6,(ROW(Tickets!$G$2:$G$161)-ROW(Tickets!$G$2)+1)/(Tickets!$G$2:$G$161=$I$3),ROWS($I$4:I14)))&amp;" - "&amp;INDEX(Tickets!$E$2:$E$161,_xlfn.AGGREGATE(15,6,(ROW(Tickets!$G$2:$G$161)-ROW(Tickets!$G$2)+1)/(Tickets!$G$2:$G$161=$I$3),ROWS($I$4:I14))),"")</f>
        <v/>
      </c>
      <c r="J14" s="2"/>
    </row>
    <row r="15" spans="1:10" ht="36" customHeight="1" x14ac:dyDescent="0.2">
      <c r="A15" s="16" t="str">
        <f>IFERROR(INDEX(Tickets!$A$2:$A$161,_xlfn.AGGREGATE(15,6,(ROW(Tickets!$G$2:$G$161)-ROW(Tickets!$G$2)+1)/(Tickets!$G$2:$G$161=$A$3),ROWS($A$4:A15)))&amp;" - "&amp;INDEX(Tickets!$E$2:$E$161,_xlfn.AGGREGATE(15,6,(ROW(Tickets!$G$2:$G$161)-ROW(Tickets!$G$2)+1)/(Tickets!$G$2:$G$161=$A$3),ROWS($A$4:A15))),"")</f>
        <v>WPT-022 - Create login API</v>
      </c>
      <c r="B15" s="2"/>
      <c r="C15" s="16" t="str">
        <f>IFERROR(INDEX(Tickets!$A$2:$A$161,_xlfn.AGGREGATE(15,6,(ROW(Tickets!$G$2:$G$161)-ROW(Tickets!$G$2)+1)/(Tickets!$G$2:$G$161=$C$3),ROWS($C$4:C15)))&amp;" - "&amp;INDEX(Tickets!$E$2:$E$161,_xlfn.AGGREGATE(15,6,(ROW(Tickets!$G$2:$G$161)-ROW(Tickets!$G$2)+1)/(Tickets!$G$2:$G$161=$C$3),ROWS($C$4:C15))),"")</f>
        <v/>
      </c>
      <c r="D15" s="2"/>
      <c r="E15" s="16" t="str">
        <f>IFERROR(INDEX(Tickets!$A$2:$A$161,_xlfn.AGGREGATE(15,6,(ROW(Tickets!$G$2:$G$161)-ROW(Tickets!$G$2)+1)/(Tickets!$G$2:$G$161=$E$3),ROWS($E$4:E15)))&amp;" - "&amp;INDEX(Tickets!$E$2:$E$161,_xlfn.AGGREGATE(15,6,(ROW(Tickets!$G$2:$G$161)-ROW(Tickets!$G$2)+1)/(Tickets!$G$2:$G$161=$E$3),ROWS($E$4:E15))),"")</f>
        <v/>
      </c>
      <c r="F15" s="2"/>
      <c r="G15" s="16" t="str">
        <f>IFERROR(INDEX(Tickets!$A$2:$A$161,_xlfn.AGGREGATE(15,6,(ROW(Tickets!$G$2:$G$161)-ROW(Tickets!$G$2)+1)/(Tickets!$G$2:$G$161=$G$3),ROWS($G$4:G15)))&amp;" - "&amp;INDEX(Tickets!$E$2:$E$161,_xlfn.AGGREGATE(15,6,(ROW(Tickets!$G$2:$G$161)-ROW(Tickets!$G$2)+1)/(Tickets!$G$2:$G$161=$G$3),ROWS($G$4:G15))),"")</f>
        <v/>
      </c>
      <c r="H15" s="2"/>
      <c r="I15" s="16" t="str">
        <f>IFERROR(INDEX(Tickets!$A$2:$A$161,_xlfn.AGGREGATE(15,6,(ROW(Tickets!$G$2:$G$161)-ROW(Tickets!$G$2)+1)/(Tickets!$G$2:$G$161=$I$3),ROWS($I$4:I15)))&amp;" - "&amp;INDEX(Tickets!$E$2:$E$161,_xlfn.AGGREGATE(15,6,(ROW(Tickets!$G$2:$G$161)-ROW(Tickets!$G$2)+1)/(Tickets!$G$2:$G$161=$I$3),ROWS($I$4:I15))),"")</f>
        <v/>
      </c>
      <c r="J15" s="2"/>
    </row>
    <row r="16" spans="1:10" ht="36" customHeight="1" x14ac:dyDescent="0.2">
      <c r="A16" s="16" t="str">
        <f>IFERROR(INDEX(Tickets!$A$2:$A$161,_xlfn.AGGREGATE(15,6,(ROW(Tickets!$G$2:$G$161)-ROW(Tickets!$G$2)+1)/(Tickets!$G$2:$G$161=$A$3),ROWS($A$4:A16)))&amp;" - "&amp;INDEX(Tickets!$E$2:$E$161,_xlfn.AGGREGATE(15,6,(ROW(Tickets!$G$2:$G$161)-ROW(Tickets!$G$2)+1)/(Tickets!$G$2:$G$161=$A$3),ROWS($A$4:A16))),"")</f>
        <v>WPT-023 - Redirect user based on account type</v>
      </c>
      <c r="B16" s="2"/>
      <c r="C16" s="16" t="str">
        <f>IFERROR(INDEX(Tickets!$A$2:$A$161,_xlfn.AGGREGATE(15,6,(ROW(Tickets!$G$2:$G$161)-ROW(Tickets!$G$2)+1)/(Tickets!$G$2:$G$161=$C$3),ROWS($C$4:C16)))&amp;" - "&amp;INDEX(Tickets!$E$2:$E$161,_xlfn.AGGREGATE(15,6,(ROW(Tickets!$G$2:$G$161)-ROW(Tickets!$G$2)+1)/(Tickets!$G$2:$G$161=$C$3),ROWS($C$4:C16))),"")</f>
        <v/>
      </c>
      <c r="D16" s="2"/>
      <c r="E16" s="16" t="str">
        <f>IFERROR(INDEX(Tickets!$A$2:$A$161,_xlfn.AGGREGATE(15,6,(ROW(Tickets!$G$2:$G$161)-ROW(Tickets!$G$2)+1)/(Tickets!$G$2:$G$161=$E$3),ROWS($E$4:E16)))&amp;" - "&amp;INDEX(Tickets!$E$2:$E$161,_xlfn.AGGREGATE(15,6,(ROW(Tickets!$G$2:$G$161)-ROW(Tickets!$G$2)+1)/(Tickets!$G$2:$G$161=$E$3),ROWS($E$4:E16))),"")</f>
        <v/>
      </c>
      <c r="F16" s="2"/>
      <c r="G16" s="16" t="str">
        <f>IFERROR(INDEX(Tickets!$A$2:$A$161,_xlfn.AGGREGATE(15,6,(ROW(Tickets!$G$2:$G$161)-ROW(Tickets!$G$2)+1)/(Tickets!$G$2:$G$161=$G$3),ROWS($G$4:G16)))&amp;" - "&amp;INDEX(Tickets!$E$2:$E$161,_xlfn.AGGREGATE(15,6,(ROW(Tickets!$G$2:$G$161)-ROW(Tickets!$G$2)+1)/(Tickets!$G$2:$G$161=$G$3),ROWS($G$4:G16))),"")</f>
        <v/>
      </c>
      <c r="H16" s="2"/>
      <c r="I16" s="16" t="str">
        <f>IFERROR(INDEX(Tickets!$A$2:$A$161,_xlfn.AGGREGATE(15,6,(ROW(Tickets!$G$2:$G$161)-ROW(Tickets!$G$2)+1)/(Tickets!$G$2:$G$161=$I$3),ROWS($I$4:I16)))&amp;" - "&amp;INDEX(Tickets!$E$2:$E$161,_xlfn.AGGREGATE(15,6,(ROW(Tickets!$G$2:$G$161)-ROW(Tickets!$G$2)+1)/(Tickets!$G$2:$G$161=$I$3),ROWS($I$4:I16))),"")</f>
        <v/>
      </c>
      <c r="J16" s="2"/>
    </row>
    <row r="17" spans="1:10" ht="36" customHeight="1" x14ac:dyDescent="0.2">
      <c r="A17" s="16" t="str">
        <f>IFERROR(INDEX(Tickets!$A$2:$A$161,_xlfn.AGGREGATE(15,6,(ROW(Tickets!$G$2:$G$161)-ROW(Tickets!$G$2)+1)/(Tickets!$G$2:$G$161=$A$3),ROWS($A$4:A17)))&amp;" - "&amp;INDEX(Tickets!$E$2:$E$161,_xlfn.AGGREGATE(15,6,(ROW(Tickets!$G$2:$G$161)-ROW(Tickets!$G$2)+1)/(Tickets!$G$2:$G$161=$A$3),ROWS($A$4:A17))),"")</f>
        <v>WPT-024 - Password and logout management</v>
      </c>
      <c r="B17" s="2"/>
      <c r="C17" s="16" t="str">
        <f>IFERROR(INDEX(Tickets!$A$2:$A$161,_xlfn.AGGREGATE(15,6,(ROW(Tickets!$G$2:$G$161)-ROW(Tickets!$G$2)+1)/(Tickets!$G$2:$G$161=$C$3),ROWS($C$4:C17)))&amp;" - "&amp;INDEX(Tickets!$E$2:$E$161,_xlfn.AGGREGATE(15,6,(ROW(Tickets!$G$2:$G$161)-ROW(Tickets!$G$2)+1)/(Tickets!$G$2:$G$161=$C$3),ROWS($C$4:C17))),"")</f>
        <v/>
      </c>
      <c r="D17" s="2"/>
      <c r="E17" s="16" t="str">
        <f>IFERROR(INDEX(Tickets!$A$2:$A$161,_xlfn.AGGREGATE(15,6,(ROW(Tickets!$G$2:$G$161)-ROW(Tickets!$G$2)+1)/(Tickets!$G$2:$G$161=$E$3),ROWS($E$4:E17)))&amp;" - "&amp;INDEX(Tickets!$E$2:$E$161,_xlfn.AGGREGATE(15,6,(ROW(Tickets!$G$2:$G$161)-ROW(Tickets!$G$2)+1)/(Tickets!$G$2:$G$161=$E$3),ROWS($E$4:E17))),"")</f>
        <v/>
      </c>
      <c r="F17" s="2"/>
      <c r="G17" s="16" t="str">
        <f>IFERROR(INDEX(Tickets!$A$2:$A$161,_xlfn.AGGREGATE(15,6,(ROW(Tickets!$G$2:$G$161)-ROW(Tickets!$G$2)+1)/(Tickets!$G$2:$G$161=$G$3),ROWS($G$4:G17)))&amp;" - "&amp;INDEX(Tickets!$E$2:$E$161,_xlfn.AGGREGATE(15,6,(ROW(Tickets!$G$2:$G$161)-ROW(Tickets!$G$2)+1)/(Tickets!$G$2:$G$161=$G$3),ROWS($G$4:G17))),"")</f>
        <v/>
      </c>
      <c r="H17" s="2"/>
      <c r="I17" s="16" t="str">
        <f>IFERROR(INDEX(Tickets!$A$2:$A$161,_xlfn.AGGREGATE(15,6,(ROW(Tickets!$G$2:$G$161)-ROW(Tickets!$G$2)+1)/(Tickets!$G$2:$G$161=$I$3),ROWS($I$4:I17)))&amp;" - "&amp;INDEX(Tickets!$E$2:$E$161,_xlfn.AGGREGATE(15,6,(ROW(Tickets!$G$2:$G$161)-ROW(Tickets!$G$2)+1)/(Tickets!$G$2:$G$161=$I$3),ROWS($I$4:I17))),"")</f>
        <v/>
      </c>
      <c r="J17" s="2"/>
    </row>
    <row r="18" spans="1:10" ht="36" customHeight="1" x14ac:dyDescent="0.2">
      <c r="A18" s="16" t="str">
        <f>IFERROR(INDEX(Tickets!$A$2:$A$161,_xlfn.AGGREGATE(15,6,(ROW(Tickets!$G$2:$G$161)-ROW(Tickets!$G$2)+1)/(Tickets!$G$2:$G$161=$A$3),ROWS($A$4:A18)))&amp;" - "&amp;INDEX(Tickets!$E$2:$E$161,_xlfn.AGGREGATE(15,6,(ROW(Tickets!$G$2:$G$161)-ROW(Tickets!$G$2)+1)/(Tickets!$G$2:$G$161=$A$3),ROWS($A$4:A18))),"")</f>
        <v>WPT-025 - Create change password screen</v>
      </c>
      <c r="B18" s="2"/>
      <c r="C18" s="16" t="str">
        <f>IFERROR(INDEX(Tickets!$A$2:$A$161,_xlfn.AGGREGATE(15,6,(ROW(Tickets!$G$2:$G$161)-ROW(Tickets!$G$2)+1)/(Tickets!$G$2:$G$161=$C$3),ROWS($C$4:C18)))&amp;" - "&amp;INDEX(Tickets!$E$2:$E$161,_xlfn.AGGREGATE(15,6,(ROW(Tickets!$G$2:$G$161)-ROW(Tickets!$G$2)+1)/(Tickets!$G$2:$G$161=$C$3),ROWS($C$4:C18))),"")</f>
        <v/>
      </c>
      <c r="D18" s="2"/>
      <c r="E18" s="16" t="str">
        <f>IFERROR(INDEX(Tickets!$A$2:$A$161,_xlfn.AGGREGATE(15,6,(ROW(Tickets!$G$2:$G$161)-ROW(Tickets!$G$2)+1)/(Tickets!$G$2:$G$161=$E$3),ROWS($E$4:E18)))&amp;" - "&amp;INDEX(Tickets!$E$2:$E$161,_xlfn.AGGREGATE(15,6,(ROW(Tickets!$G$2:$G$161)-ROW(Tickets!$G$2)+1)/(Tickets!$G$2:$G$161=$E$3),ROWS($E$4:E18))),"")</f>
        <v/>
      </c>
      <c r="F18" s="2"/>
      <c r="G18" s="16" t="str">
        <f>IFERROR(INDEX(Tickets!$A$2:$A$161,_xlfn.AGGREGATE(15,6,(ROW(Tickets!$G$2:$G$161)-ROW(Tickets!$G$2)+1)/(Tickets!$G$2:$G$161=$G$3),ROWS($G$4:G18)))&amp;" - "&amp;INDEX(Tickets!$E$2:$E$161,_xlfn.AGGREGATE(15,6,(ROW(Tickets!$G$2:$G$161)-ROW(Tickets!$G$2)+1)/(Tickets!$G$2:$G$161=$G$3),ROWS($G$4:G18))),"")</f>
        <v/>
      </c>
      <c r="H18" s="2"/>
      <c r="I18" s="16" t="str">
        <f>IFERROR(INDEX(Tickets!$A$2:$A$161,_xlfn.AGGREGATE(15,6,(ROW(Tickets!$G$2:$G$161)-ROW(Tickets!$G$2)+1)/(Tickets!$G$2:$G$161=$I$3),ROWS($I$4:I18)))&amp;" - "&amp;INDEX(Tickets!$E$2:$E$161,_xlfn.AGGREGATE(15,6,(ROW(Tickets!$G$2:$G$161)-ROW(Tickets!$G$2)+1)/(Tickets!$G$2:$G$161=$I$3),ROWS($I$4:I18))),"")</f>
        <v/>
      </c>
      <c r="J18" s="2"/>
    </row>
    <row r="19" spans="1:10" ht="36" customHeight="1" x14ac:dyDescent="0.2">
      <c r="A19" s="16" t="str">
        <f>IFERROR(INDEX(Tickets!$A$2:$A$161,_xlfn.AGGREGATE(15,6,(ROW(Tickets!$G$2:$G$161)-ROW(Tickets!$G$2)+1)/(Tickets!$G$2:$G$161=$A$3),ROWS($A$4:A19)))&amp;" - "&amp;INDEX(Tickets!$E$2:$E$161,_xlfn.AGGREGATE(15,6,(ROW(Tickets!$G$2:$G$161)-ROW(Tickets!$G$2)+1)/(Tickets!$G$2:$G$161=$A$3),ROWS($A$4:A19))),"")</f>
        <v>WPT-026 - Create logout function</v>
      </c>
      <c r="B19" s="2"/>
      <c r="C19" s="16" t="str">
        <f>IFERROR(INDEX(Tickets!$A$2:$A$161,_xlfn.AGGREGATE(15,6,(ROW(Tickets!$G$2:$G$161)-ROW(Tickets!$G$2)+1)/(Tickets!$G$2:$G$161=$C$3),ROWS($C$4:C19)))&amp;" - "&amp;INDEX(Tickets!$E$2:$E$161,_xlfn.AGGREGATE(15,6,(ROW(Tickets!$G$2:$G$161)-ROW(Tickets!$G$2)+1)/(Tickets!$G$2:$G$161=$C$3),ROWS($C$4:C19))),"")</f>
        <v/>
      </c>
      <c r="D19" s="2"/>
      <c r="E19" s="16" t="str">
        <f>IFERROR(INDEX(Tickets!$A$2:$A$161,_xlfn.AGGREGATE(15,6,(ROW(Tickets!$G$2:$G$161)-ROW(Tickets!$G$2)+1)/(Tickets!$G$2:$G$161=$E$3),ROWS($E$4:E19)))&amp;" - "&amp;INDEX(Tickets!$E$2:$E$161,_xlfn.AGGREGATE(15,6,(ROW(Tickets!$G$2:$G$161)-ROW(Tickets!$G$2)+1)/(Tickets!$G$2:$G$161=$E$3),ROWS($E$4:E19))),"")</f>
        <v/>
      </c>
      <c r="F19" s="2"/>
      <c r="G19" s="16" t="str">
        <f>IFERROR(INDEX(Tickets!$A$2:$A$161,_xlfn.AGGREGATE(15,6,(ROW(Tickets!$G$2:$G$161)-ROW(Tickets!$G$2)+1)/(Tickets!$G$2:$G$161=$G$3),ROWS($G$4:G19)))&amp;" - "&amp;INDEX(Tickets!$E$2:$E$161,_xlfn.AGGREGATE(15,6,(ROW(Tickets!$G$2:$G$161)-ROW(Tickets!$G$2)+1)/(Tickets!$G$2:$G$161=$G$3),ROWS($G$4:G19))),"")</f>
        <v/>
      </c>
      <c r="H19" s="2"/>
      <c r="I19" s="16" t="str">
        <f>IFERROR(INDEX(Tickets!$A$2:$A$161,_xlfn.AGGREGATE(15,6,(ROW(Tickets!$G$2:$G$161)-ROW(Tickets!$G$2)+1)/(Tickets!$G$2:$G$161=$I$3),ROWS($I$4:I19)))&amp;" - "&amp;INDEX(Tickets!$E$2:$E$161,_xlfn.AGGREGATE(15,6,(ROW(Tickets!$G$2:$G$161)-ROW(Tickets!$G$2)+1)/(Tickets!$G$2:$G$161=$I$3),ROWS($I$4:I19))),"")</f>
        <v/>
      </c>
      <c r="J19" s="2"/>
    </row>
    <row r="20" spans="1:10" ht="36" customHeight="1" x14ac:dyDescent="0.2">
      <c r="A20" s="16" t="str">
        <f>IFERROR(INDEX(Tickets!$A$2:$A$161,_xlfn.AGGREGATE(15,6,(ROW(Tickets!$G$2:$G$161)-ROW(Tickets!$G$2)+1)/(Tickets!$G$2:$G$161=$A$3),ROWS($A$4:A20)))&amp;" - "&amp;INDEX(Tickets!$E$2:$E$161,_xlfn.AGGREGATE(15,6,(ROW(Tickets!$G$2:$G$161)-ROW(Tickets!$G$2)+1)/(Tickets!$G$2:$G$161=$A$3),ROWS($A$4:A20))),"")</f>
        <v>WPT-027 - Employer Dashboard and Profile</v>
      </c>
      <c r="B20" s="2"/>
      <c r="C20" s="16" t="str">
        <f>IFERROR(INDEX(Tickets!$A$2:$A$161,_xlfn.AGGREGATE(15,6,(ROW(Tickets!$G$2:$G$161)-ROW(Tickets!$G$2)+1)/(Tickets!$G$2:$G$161=$C$3),ROWS($C$4:C20)))&amp;" - "&amp;INDEX(Tickets!$E$2:$E$161,_xlfn.AGGREGATE(15,6,(ROW(Tickets!$G$2:$G$161)-ROW(Tickets!$G$2)+1)/(Tickets!$G$2:$G$161=$C$3),ROWS($C$4:C20))),"")</f>
        <v/>
      </c>
      <c r="D20" s="2"/>
      <c r="E20" s="16" t="str">
        <f>IFERROR(INDEX(Tickets!$A$2:$A$161,_xlfn.AGGREGATE(15,6,(ROW(Tickets!$G$2:$G$161)-ROW(Tickets!$G$2)+1)/(Tickets!$G$2:$G$161=$E$3),ROWS($E$4:E20)))&amp;" - "&amp;INDEX(Tickets!$E$2:$E$161,_xlfn.AGGREGATE(15,6,(ROW(Tickets!$G$2:$G$161)-ROW(Tickets!$G$2)+1)/(Tickets!$G$2:$G$161=$E$3),ROWS($E$4:E20))),"")</f>
        <v/>
      </c>
      <c r="F20" s="2"/>
      <c r="G20" s="16" t="str">
        <f>IFERROR(INDEX(Tickets!$A$2:$A$161,_xlfn.AGGREGATE(15,6,(ROW(Tickets!$G$2:$G$161)-ROW(Tickets!$G$2)+1)/(Tickets!$G$2:$G$161=$G$3),ROWS($G$4:G20)))&amp;" - "&amp;INDEX(Tickets!$E$2:$E$161,_xlfn.AGGREGATE(15,6,(ROW(Tickets!$G$2:$G$161)-ROW(Tickets!$G$2)+1)/(Tickets!$G$2:$G$161=$G$3),ROWS($G$4:G20))),"")</f>
        <v/>
      </c>
      <c r="H20" s="2"/>
      <c r="I20" s="16" t="str">
        <f>IFERROR(INDEX(Tickets!$A$2:$A$161,_xlfn.AGGREGATE(15,6,(ROW(Tickets!$G$2:$G$161)-ROW(Tickets!$G$2)+1)/(Tickets!$G$2:$G$161=$I$3),ROWS($I$4:I20)))&amp;" - "&amp;INDEX(Tickets!$E$2:$E$161,_xlfn.AGGREGATE(15,6,(ROW(Tickets!$G$2:$G$161)-ROW(Tickets!$G$2)+1)/(Tickets!$G$2:$G$161=$I$3),ROWS($I$4:I20))),"")</f>
        <v/>
      </c>
      <c r="J20" s="2"/>
    </row>
    <row r="21" spans="1:10" ht="36" customHeight="1" x14ac:dyDescent="0.2">
      <c r="A21" s="16" t="str">
        <f>IFERROR(INDEX(Tickets!$A$2:$A$161,_xlfn.AGGREGATE(15,6,(ROW(Tickets!$G$2:$G$161)-ROW(Tickets!$G$2)+1)/(Tickets!$G$2:$G$161=$A$3),ROWS($A$4:A21)))&amp;" - "&amp;INDEX(Tickets!$E$2:$E$161,_xlfn.AGGREGATE(15,6,(ROW(Tickets!$G$2:$G$161)-ROW(Tickets!$G$2)+1)/(Tickets!$G$2:$G$161=$A$3),ROWS($A$4:A21))),"")</f>
        <v>WPT-028 - Employer profile management</v>
      </c>
      <c r="B21" s="2"/>
      <c r="C21" s="16" t="str">
        <f>IFERROR(INDEX(Tickets!$A$2:$A$161,_xlfn.AGGREGATE(15,6,(ROW(Tickets!$G$2:$G$161)-ROW(Tickets!$G$2)+1)/(Tickets!$G$2:$G$161=$C$3),ROWS($C$4:C21)))&amp;" - "&amp;INDEX(Tickets!$E$2:$E$161,_xlfn.AGGREGATE(15,6,(ROW(Tickets!$G$2:$G$161)-ROW(Tickets!$G$2)+1)/(Tickets!$G$2:$G$161=$C$3),ROWS($C$4:C21))),"")</f>
        <v/>
      </c>
      <c r="D21" s="2"/>
      <c r="E21" s="16" t="str">
        <f>IFERROR(INDEX(Tickets!$A$2:$A$161,_xlfn.AGGREGATE(15,6,(ROW(Tickets!$G$2:$G$161)-ROW(Tickets!$G$2)+1)/(Tickets!$G$2:$G$161=$E$3),ROWS($E$4:E21)))&amp;" - "&amp;INDEX(Tickets!$E$2:$E$161,_xlfn.AGGREGATE(15,6,(ROW(Tickets!$G$2:$G$161)-ROW(Tickets!$G$2)+1)/(Tickets!$G$2:$G$161=$E$3),ROWS($E$4:E21))),"")</f>
        <v/>
      </c>
      <c r="F21" s="2"/>
      <c r="G21" s="16" t="str">
        <f>IFERROR(INDEX(Tickets!$A$2:$A$161,_xlfn.AGGREGATE(15,6,(ROW(Tickets!$G$2:$G$161)-ROW(Tickets!$G$2)+1)/(Tickets!$G$2:$G$161=$G$3),ROWS($G$4:G21)))&amp;" - "&amp;INDEX(Tickets!$E$2:$E$161,_xlfn.AGGREGATE(15,6,(ROW(Tickets!$G$2:$G$161)-ROW(Tickets!$G$2)+1)/(Tickets!$G$2:$G$161=$G$3),ROWS($G$4:G21))),"")</f>
        <v/>
      </c>
      <c r="H21" s="2"/>
      <c r="I21" s="16" t="str">
        <f>IFERROR(INDEX(Tickets!$A$2:$A$161,_xlfn.AGGREGATE(15,6,(ROW(Tickets!$G$2:$G$161)-ROW(Tickets!$G$2)+1)/(Tickets!$G$2:$G$161=$I$3),ROWS($I$4:I21)))&amp;" - "&amp;INDEX(Tickets!$E$2:$E$161,_xlfn.AGGREGATE(15,6,(ROW(Tickets!$G$2:$G$161)-ROW(Tickets!$G$2)+1)/(Tickets!$G$2:$G$161=$I$3),ROWS($I$4:I21))),"")</f>
        <v/>
      </c>
      <c r="J21" s="2"/>
    </row>
    <row r="22" spans="1:10" ht="36" customHeight="1" x14ac:dyDescent="0.2">
      <c r="A22" s="16" t="str">
        <f>IFERROR(INDEX(Tickets!$A$2:$A$161,_xlfn.AGGREGATE(15,6,(ROW(Tickets!$G$2:$G$161)-ROW(Tickets!$G$2)+1)/(Tickets!$G$2:$G$161=$A$3),ROWS($A$4:A22)))&amp;" - "&amp;INDEX(Tickets!$E$2:$E$161,_xlfn.AGGREGATE(15,6,(ROW(Tickets!$G$2:$G$161)-ROW(Tickets!$G$2)+1)/(Tickets!$G$2:$G$161=$A$3),ROWS($A$4:A22))),"")</f>
        <v>WPT-029 - Create employer profile page</v>
      </c>
      <c r="B22" s="2"/>
      <c r="C22" s="16" t="str">
        <f>IFERROR(INDEX(Tickets!$A$2:$A$161,_xlfn.AGGREGATE(15,6,(ROW(Tickets!$G$2:$G$161)-ROW(Tickets!$G$2)+1)/(Tickets!$G$2:$G$161=$C$3),ROWS($C$4:C22)))&amp;" - "&amp;INDEX(Tickets!$E$2:$E$161,_xlfn.AGGREGATE(15,6,(ROW(Tickets!$G$2:$G$161)-ROW(Tickets!$G$2)+1)/(Tickets!$G$2:$G$161=$C$3),ROWS($C$4:C22))),"")</f>
        <v/>
      </c>
      <c r="D22" s="2"/>
      <c r="E22" s="16" t="str">
        <f>IFERROR(INDEX(Tickets!$A$2:$A$161,_xlfn.AGGREGATE(15,6,(ROW(Tickets!$G$2:$G$161)-ROW(Tickets!$G$2)+1)/(Tickets!$G$2:$G$161=$E$3),ROWS($E$4:E22)))&amp;" - "&amp;INDEX(Tickets!$E$2:$E$161,_xlfn.AGGREGATE(15,6,(ROW(Tickets!$G$2:$G$161)-ROW(Tickets!$G$2)+1)/(Tickets!$G$2:$G$161=$E$3),ROWS($E$4:E22))),"")</f>
        <v/>
      </c>
      <c r="F22" s="2"/>
      <c r="G22" s="16" t="str">
        <f>IFERROR(INDEX(Tickets!$A$2:$A$161,_xlfn.AGGREGATE(15,6,(ROW(Tickets!$G$2:$G$161)-ROW(Tickets!$G$2)+1)/(Tickets!$G$2:$G$161=$G$3),ROWS($G$4:G22)))&amp;" - "&amp;INDEX(Tickets!$E$2:$E$161,_xlfn.AGGREGATE(15,6,(ROW(Tickets!$G$2:$G$161)-ROW(Tickets!$G$2)+1)/(Tickets!$G$2:$G$161=$G$3),ROWS($G$4:G22))),"")</f>
        <v/>
      </c>
      <c r="H22" s="2"/>
      <c r="I22" s="16" t="str">
        <f>IFERROR(INDEX(Tickets!$A$2:$A$161,_xlfn.AGGREGATE(15,6,(ROW(Tickets!$G$2:$G$161)-ROW(Tickets!$G$2)+1)/(Tickets!$G$2:$G$161=$I$3),ROWS($I$4:I22)))&amp;" - "&amp;INDEX(Tickets!$E$2:$E$161,_xlfn.AGGREGATE(15,6,(ROW(Tickets!$G$2:$G$161)-ROW(Tickets!$G$2)+1)/(Tickets!$G$2:$G$161=$I$3),ROWS($I$4:I22))),"")</f>
        <v/>
      </c>
      <c r="J22" s="2"/>
    </row>
    <row r="23" spans="1:10" ht="36" customHeight="1" x14ac:dyDescent="0.2">
      <c r="A23" s="16" t="str">
        <f>IFERROR(INDEX(Tickets!$A$2:$A$161,_xlfn.AGGREGATE(15,6,(ROW(Tickets!$G$2:$G$161)-ROW(Tickets!$G$2)+1)/(Tickets!$G$2:$G$161=$A$3),ROWS($A$4:A23)))&amp;" - "&amp;INDEX(Tickets!$E$2:$E$161,_xlfn.AGGREGATE(15,6,(ROW(Tickets!$G$2:$G$161)-ROW(Tickets!$G$2)+1)/(Tickets!$G$2:$G$161=$A$3),ROWS($A$4:A23))),"")</f>
        <v>WPT-030 - Create edit company profile function</v>
      </c>
      <c r="B23" s="2"/>
      <c r="C23" s="16" t="str">
        <f>IFERROR(INDEX(Tickets!$A$2:$A$161,_xlfn.AGGREGATE(15,6,(ROW(Tickets!$G$2:$G$161)-ROW(Tickets!$G$2)+1)/(Tickets!$G$2:$G$161=$C$3),ROWS($C$4:C23)))&amp;" - "&amp;INDEX(Tickets!$E$2:$E$161,_xlfn.AGGREGATE(15,6,(ROW(Tickets!$G$2:$G$161)-ROW(Tickets!$G$2)+1)/(Tickets!$G$2:$G$161=$C$3),ROWS($C$4:C23))),"")</f>
        <v/>
      </c>
      <c r="D23" s="2"/>
      <c r="E23" s="16" t="str">
        <f>IFERROR(INDEX(Tickets!$A$2:$A$161,_xlfn.AGGREGATE(15,6,(ROW(Tickets!$G$2:$G$161)-ROW(Tickets!$G$2)+1)/(Tickets!$G$2:$G$161=$E$3),ROWS($E$4:E23)))&amp;" - "&amp;INDEX(Tickets!$E$2:$E$161,_xlfn.AGGREGATE(15,6,(ROW(Tickets!$G$2:$G$161)-ROW(Tickets!$G$2)+1)/(Tickets!$G$2:$G$161=$E$3),ROWS($E$4:E23))),"")</f>
        <v/>
      </c>
      <c r="F23" s="2"/>
      <c r="G23" s="16" t="str">
        <f>IFERROR(INDEX(Tickets!$A$2:$A$161,_xlfn.AGGREGATE(15,6,(ROW(Tickets!$G$2:$G$161)-ROW(Tickets!$G$2)+1)/(Tickets!$G$2:$G$161=$G$3),ROWS($G$4:G23)))&amp;" - "&amp;INDEX(Tickets!$E$2:$E$161,_xlfn.AGGREGATE(15,6,(ROW(Tickets!$G$2:$G$161)-ROW(Tickets!$G$2)+1)/(Tickets!$G$2:$G$161=$G$3),ROWS($G$4:G23))),"")</f>
        <v/>
      </c>
      <c r="H23" s="2"/>
      <c r="I23" s="16" t="str">
        <f>IFERROR(INDEX(Tickets!$A$2:$A$161,_xlfn.AGGREGATE(15,6,(ROW(Tickets!$G$2:$G$161)-ROW(Tickets!$G$2)+1)/(Tickets!$G$2:$G$161=$I$3),ROWS($I$4:I23)))&amp;" - "&amp;INDEX(Tickets!$E$2:$E$161,_xlfn.AGGREGATE(15,6,(ROW(Tickets!$G$2:$G$161)-ROW(Tickets!$G$2)+1)/(Tickets!$G$2:$G$161=$I$3),ROWS($I$4:I23))),"")</f>
        <v/>
      </c>
      <c r="J23" s="2"/>
    </row>
    <row r="24" spans="1:10" ht="36" customHeight="1" x14ac:dyDescent="0.2">
      <c r="A24" s="16" t="str">
        <f>IFERROR(INDEX(Tickets!$A$2:$A$161,_xlfn.AGGREGATE(15,6,(ROW(Tickets!$G$2:$G$161)-ROW(Tickets!$G$2)+1)/(Tickets!$G$2:$G$161=$A$3),ROWS($A$4:A24)))&amp;" - "&amp;INDEX(Tickets!$E$2:$E$161,_xlfn.AGGREGATE(15,6,(ROW(Tickets!$G$2:$G$161)-ROW(Tickets!$G$2)+1)/(Tickets!$G$2:$G$161=$A$3),ROWS($A$4:A24))),"")</f>
        <v>WPT-031 - Create employer profile API</v>
      </c>
      <c r="B24" s="2"/>
      <c r="C24" s="16" t="str">
        <f>IFERROR(INDEX(Tickets!$A$2:$A$161,_xlfn.AGGREGATE(15,6,(ROW(Tickets!$G$2:$G$161)-ROW(Tickets!$G$2)+1)/(Tickets!$G$2:$G$161=$C$3),ROWS($C$4:C24)))&amp;" - "&amp;INDEX(Tickets!$E$2:$E$161,_xlfn.AGGREGATE(15,6,(ROW(Tickets!$G$2:$G$161)-ROW(Tickets!$G$2)+1)/(Tickets!$G$2:$G$161=$C$3),ROWS($C$4:C24))),"")</f>
        <v/>
      </c>
      <c r="D24" s="2"/>
      <c r="E24" s="16" t="str">
        <f>IFERROR(INDEX(Tickets!$A$2:$A$161,_xlfn.AGGREGATE(15,6,(ROW(Tickets!$G$2:$G$161)-ROW(Tickets!$G$2)+1)/(Tickets!$G$2:$G$161=$E$3),ROWS($E$4:E24)))&amp;" - "&amp;INDEX(Tickets!$E$2:$E$161,_xlfn.AGGREGATE(15,6,(ROW(Tickets!$G$2:$G$161)-ROW(Tickets!$G$2)+1)/(Tickets!$G$2:$G$161=$E$3),ROWS($E$4:E24))),"")</f>
        <v/>
      </c>
      <c r="F24" s="2"/>
      <c r="G24" s="16" t="str">
        <f>IFERROR(INDEX(Tickets!$A$2:$A$161,_xlfn.AGGREGATE(15,6,(ROW(Tickets!$G$2:$G$161)-ROW(Tickets!$G$2)+1)/(Tickets!$G$2:$G$161=$G$3),ROWS($G$4:G24)))&amp;" - "&amp;INDEX(Tickets!$E$2:$E$161,_xlfn.AGGREGATE(15,6,(ROW(Tickets!$G$2:$G$161)-ROW(Tickets!$G$2)+1)/(Tickets!$G$2:$G$161=$G$3),ROWS($G$4:G24))),"")</f>
        <v/>
      </c>
      <c r="H24" s="2"/>
      <c r="I24" s="16" t="str">
        <f>IFERROR(INDEX(Tickets!$A$2:$A$161,_xlfn.AGGREGATE(15,6,(ROW(Tickets!$G$2:$G$161)-ROW(Tickets!$G$2)+1)/(Tickets!$G$2:$G$161=$I$3),ROWS($I$4:I24)))&amp;" - "&amp;INDEX(Tickets!$E$2:$E$161,_xlfn.AGGREGATE(15,6,(ROW(Tickets!$G$2:$G$161)-ROW(Tickets!$G$2)+1)/(Tickets!$G$2:$G$161=$I$3),ROWS($I$4:I24))),"")</f>
        <v/>
      </c>
      <c r="J24" s="2"/>
    </row>
    <row r="25" spans="1:10" ht="36" customHeight="1" x14ac:dyDescent="0.2">
      <c r="A25" s="16" t="str">
        <f>IFERROR(INDEX(Tickets!$A$2:$A$161,_xlfn.AGGREGATE(15,6,(ROW(Tickets!$G$2:$G$161)-ROW(Tickets!$G$2)+1)/(Tickets!$G$2:$G$161=$A$3),ROWS($A$4:A25)))&amp;" - "&amp;INDEX(Tickets!$E$2:$E$161,_xlfn.AGGREGATE(15,6,(ROW(Tickets!$G$2:$G$161)-ROW(Tickets!$G$2)+1)/(Tickets!$G$2:$G$161=$A$3),ROWS($A$4:A25))),"")</f>
        <v>WPT-032 - Employer home dashboard</v>
      </c>
      <c r="B25" s="2"/>
      <c r="C25" s="16" t="str">
        <f>IFERROR(INDEX(Tickets!$A$2:$A$161,_xlfn.AGGREGATE(15,6,(ROW(Tickets!$G$2:$G$161)-ROW(Tickets!$G$2)+1)/(Tickets!$G$2:$G$161=$C$3),ROWS($C$4:C25)))&amp;" - "&amp;INDEX(Tickets!$E$2:$E$161,_xlfn.AGGREGATE(15,6,(ROW(Tickets!$G$2:$G$161)-ROW(Tickets!$G$2)+1)/(Tickets!$G$2:$G$161=$C$3),ROWS($C$4:C25))),"")</f>
        <v/>
      </c>
      <c r="D25" s="2"/>
      <c r="E25" s="16" t="str">
        <f>IFERROR(INDEX(Tickets!$A$2:$A$161,_xlfn.AGGREGATE(15,6,(ROW(Tickets!$G$2:$G$161)-ROW(Tickets!$G$2)+1)/(Tickets!$G$2:$G$161=$E$3),ROWS($E$4:E25)))&amp;" - "&amp;INDEX(Tickets!$E$2:$E$161,_xlfn.AGGREGATE(15,6,(ROW(Tickets!$G$2:$G$161)-ROW(Tickets!$G$2)+1)/(Tickets!$G$2:$G$161=$E$3),ROWS($E$4:E25))),"")</f>
        <v/>
      </c>
      <c r="F25" s="2"/>
      <c r="G25" s="16" t="str">
        <f>IFERROR(INDEX(Tickets!$A$2:$A$161,_xlfn.AGGREGATE(15,6,(ROW(Tickets!$G$2:$G$161)-ROW(Tickets!$G$2)+1)/(Tickets!$G$2:$G$161=$G$3),ROWS($G$4:G25)))&amp;" - "&amp;INDEX(Tickets!$E$2:$E$161,_xlfn.AGGREGATE(15,6,(ROW(Tickets!$G$2:$G$161)-ROW(Tickets!$G$2)+1)/(Tickets!$G$2:$G$161=$G$3),ROWS($G$4:G25))),"")</f>
        <v/>
      </c>
      <c r="H25" s="2"/>
      <c r="I25" s="16" t="str">
        <f>IFERROR(INDEX(Tickets!$A$2:$A$161,_xlfn.AGGREGATE(15,6,(ROW(Tickets!$G$2:$G$161)-ROW(Tickets!$G$2)+1)/(Tickets!$G$2:$G$161=$I$3),ROWS($I$4:I25)))&amp;" - "&amp;INDEX(Tickets!$E$2:$E$161,_xlfn.AGGREGATE(15,6,(ROW(Tickets!$G$2:$G$161)-ROW(Tickets!$G$2)+1)/(Tickets!$G$2:$G$161=$I$3),ROWS($I$4:I25))),"")</f>
        <v/>
      </c>
      <c r="J25" s="2"/>
    </row>
    <row r="26" spans="1:10" ht="36" customHeight="1" x14ac:dyDescent="0.2">
      <c r="A26" s="16" t="str">
        <f>IFERROR(INDEX(Tickets!$A$2:$A$161,_xlfn.AGGREGATE(15,6,(ROW(Tickets!$G$2:$G$161)-ROW(Tickets!$G$2)+1)/(Tickets!$G$2:$G$161=$A$3),ROWS($A$4:A26)))&amp;" - "&amp;INDEX(Tickets!$E$2:$E$161,_xlfn.AGGREGATE(15,6,(ROW(Tickets!$G$2:$G$161)-ROW(Tickets!$G$2)+1)/(Tickets!$G$2:$G$161=$A$3),ROWS($A$4:A26))),"")</f>
        <v>WPT-033 - Show total jobs posted</v>
      </c>
      <c r="B26" s="2"/>
      <c r="C26" s="16" t="str">
        <f>IFERROR(INDEX(Tickets!$A$2:$A$161,_xlfn.AGGREGATE(15,6,(ROW(Tickets!$G$2:$G$161)-ROW(Tickets!$G$2)+1)/(Tickets!$G$2:$G$161=$C$3),ROWS($C$4:C26)))&amp;" - "&amp;INDEX(Tickets!$E$2:$E$161,_xlfn.AGGREGATE(15,6,(ROW(Tickets!$G$2:$G$161)-ROW(Tickets!$G$2)+1)/(Tickets!$G$2:$G$161=$C$3),ROWS($C$4:C26))),"")</f>
        <v/>
      </c>
      <c r="D26" s="2"/>
      <c r="E26" s="16" t="str">
        <f>IFERROR(INDEX(Tickets!$A$2:$A$161,_xlfn.AGGREGATE(15,6,(ROW(Tickets!$G$2:$G$161)-ROW(Tickets!$G$2)+1)/(Tickets!$G$2:$G$161=$E$3),ROWS($E$4:E26)))&amp;" - "&amp;INDEX(Tickets!$E$2:$E$161,_xlfn.AGGREGATE(15,6,(ROW(Tickets!$G$2:$G$161)-ROW(Tickets!$G$2)+1)/(Tickets!$G$2:$G$161=$E$3),ROWS($E$4:E26))),"")</f>
        <v/>
      </c>
      <c r="F26" s="2"/>
      <c r="G26" s="16" t="str">
        <f>IFERROR(INDEX(Tickets!$A$2:$A$161,_xlfn.AGGREGATE(15,6,(ROW(Tickets!$G$2:$G$161)-ROW(Tickets!$G$2)+1)/(Tickets!$G$2:$G$161=$G$3),ROWS($G$4:G26)))&amp;" - "&amp;INDEX(Tickets!$E$2:$E$161,_xlfn.AGGREGATE(15,6,(ROW(Tickets!$G$2:$G$161)-ROW(Tickets!$G$2)+1)/(Tickets!$G$2:$G$161=$G$3),ROWS($G$4:G26))),"")</f>
        <v/>
      </c>
      <c r="H26" s="2"/>
      <c r="I26" s="16" t="str">
        <f>IFERROR(INDEX(Tickets!$A$2:$A$161,_xlfn.AGGREGATE(15,6,(ROW(Tickets!$G$2:$G$161)-ROW(Tickets!$G$2)+1)/(Tickets!$G$2:$G$161=$I$3),ROWS($I$4:I26)))&amp;" - "&amp;INDEX(Tickets!$E$2:$E$161,_xlfn.AGGREGATE(15,6,(ROW(Tickets!$G$2:$G$161)-ROW(Tickets!$G$2)+1)/(Tickets!$G$2:$G$161=$I$3),ROWS($I$4:I26))),"")</f>
        <v/>
      </c>
      <c r="J26" s="2"/>
    </row>
    <row r="27" spans="1:10" ht="36" customHeight="1" x14ac:dyDescent="0.2">
      <c r="A27" s="16" t="str">
        <f>IFERROR(INDEX(Tickets!$A$2:$A$161,_xlfn.AGGREGATE(15,6,(ROW(Tickets!$G$2:$G$161)-ROW(Tickets!$G$2)+1)/(Tickets!$G$2:$G$161=$A$3),ROWS($A$4:A27)))&amp;" - "&amp;INDEX(Tickets!$E$2:$E$161,_xlfn.AGGREGATE(15,6,(ROW(Tickets!$G$2:$G$161)-ROW(Tickets!$G$2)+1)/(Tickets!$G$2:$G$161=$A$3),ROWS($A$4:A27))),"")</f>
        <v>WPT-034 - Show new applications count</v>
      </c>
      <c r="B27" s="2"/>
      <c r="C27" s="16" t="str">
        <f>IFERROR(INDEX(Tickets!$A$2:$A$161,_xlfn.AGGREGATE(15,6,(ROW(Tickets!$G$2:$G$161)-ROW(Tickets!$G$2)+1)/(Tickets!$G$2:$G$161=$C$3),ROWS($C$4:C27)))&amp;" - "&amp;INDEX(Tickets!$E$2:$E$161,_xlfn.AGGREGATE(15,6,(ROW(Tickets!$G$2:$G$161)-ROW(Tickets!$G$2)+1)/(Tickets!$G$2:$G$161=$C$3),ROWS($C$4:C27))),"")</f>
        <v/>
      </c>
      <c r="D27" s="2"/>
      <c r="E27" s="16" t="str">
        <f>IFERROR(INDEX(Tickets!$A$2:$A$161,_xlfn.AGGREGATE(15,6,(ROW(Tickets!$G$2:$G$161)-ROW(Tickets!$G$2)+1)/(Tickets!$G$2:$G$161=$E$3),ROWS($E$4:E27)))&amp;" - "&amp;INDEX(Tickets!$E$2:$E$161,_xlfn.AGGREGATE(15,6,(ROW(Tickets!$G$2:$G$161)-ROW(Tickets!$G$2)+1)/(Tickets!$G$2:$G$161=$E$3),ROWS($E$4:E27))),"")</f>
        <v/>
      </c>
      <c r="F27" s="2"/>
      <c r="G27" s="16" t="str">
        <f>IFERROR(INDEX(Tickets!$A$2:$A$161,_xlfn.AGGREGATE(15,6,(ROW(Tickets!$G$2:$G$161)-ROW(Tickets!$G$2)+1)/(Tickets!$G$2:$G$161=$G$3),ROWS($G$4:G27)))&amp;" - "&amp;INDEX(Tickets!$E$2:$E$161,_xlfn.AGGREGATE(15,6,(ROW(Tickets!$G$2:$G$161)-ROW(Tickets!$G$2)+1)/(Tickets!$G$2:$G$161=$G$3),ROWS($G$4:G27))),"")</f>
        <v/>
      </c>
      <c r="H27" s="2"/>
      <c r="I27" s="16" t="str">
        <f>IFERROR(INDEX(Tickets!$A$2:$A$161,_xlfn.AGGREGATE(15,6,(ROW(Tickets!$G$2:$G$161)-ROW(Tickets!$G$2)+1)/(Tickets!$G$2:$G$161=$I$3),ROWS($I$4:I27)))&amp;" - "&amp;INDEX(Tickets!$E$2:$E$161,_xlfn.AGGREGATE(15,6,(ROW(Tickets!$G$2:$G$161)-ROW(Tickets!$G$2)+1)/(Tickets!$G$2:$G$161=$I$3),ROWS($I$4:I27))),"")</f>
        <v/>
      </c>
      <c r="J27" s="2"/>
    </row>
    <row r="28" spans="1:10" ht="36" customHeight="1" x14ac:dyDescent="0.2">
      <c r="A28" s="16" t="str">
        <f>IFERROR(INDEX(Tickets!$A$2:$A$161,_xlfn.AGGREGATE(15,6,(ROW(Tickets!$G$2:$G$161)-ROW(Tickets!$G$2)+1)/(Tickets!$G$2:$G$161=$A$3),ROWS($A$4:A28)))&amp;" - "&amp;INDEX(Tickets!$E$2:$E$161,_xlfn.AGGREGATE(15,6,(ROW(Tickets!$G$2:$G$161)-ROW(Tickets!$G$2)+1)/(Tickets!$G$2:$G$161=$A$3),ROWS($A$4:A28))),"")</f>
        <v>WPT-035 - Show in progress Employees count</v>
      </c>
      <c r="B28" s="2"/>
      <c r="C28" s="16" t="str">
        <f>IFERROR(INDEX(Tickets!$A$2:$A$161,_xlfn.AGGREGATE(15,6,(ROW(Tickets!$G$2:$G$161)-ROW(Tickets!$G$2)+1)/(Tickets!$G$2:$G$161=$C$3),ROWS($C$4:C28)))&amp;" - "&amp;INDEX(Tickets!$E$2:$E$161,_xlfn.AGGREGATE(15,6,(ROW(Tickets!$G$2:$G$161)-ROW(Tickets!$G$2)+1)/(Tickets!$G$2:$G$161=$C$3),ROWS($C$4:C28))),"")</f>
        <v/>
      </c>
      <c r="D28" s="2"/>
      <c r="E28" s="16" t="str">
        <f>IFERROR(INDEX(Tickets!$A$2:$A$161,_xlfn.AGGREGATE(15,6,(ROW(Tickets!$G$2:$G$161)-ROW(Tickets!$G$2)+1)/(Tickets!$G$2:$G$161=$E$3),ROWS($E$4:E28)))&amp;" - "&amp;INDEX(Tickets!$E$2:$E$161,_xlfn.AGGREGATE(15,6,(ROW(Tickets!$G$2:$G$161)-ROW(Tickets!$G$2)+1)/(Tickets!$G$2:$G$161=$E$3),ROWS($E$4:E28))),"")</f>
        <v/>
      </c>
      <c r="F28" s="2"/>
      <c r="G28" s="16" t="str">
        <f>IFERROR(INDEX(Tickets!$A$2:$A$161,_xlfn.AGGREGATE(15,6,(ROW(Tickets!$G$2:$G$161)-ROW(Tickets!$G$2)+1)/(Tickets!$G$2:$G$161=$G$3),ROWS($G$4:G28)))&amp;" - "&amp;INDEX(Tickets!$E$2:$E$161,_xlfn.AGGREGATE(15,6,(ROW(Tickets!$G$2:$G$161)-ROW(Tickets!$G$2)+1)/(Tickets!$G$2:$G$161=$G$3),ROWS($G$4:G28))),"")</f>
        <v/>
      </c>
      <c r="H28" s="2"/>
      <c r="I28" s="16" t="str">
        <f>IFERROR(INDEX(Tickets!$A$2:$A$161,_xlfn.AGGREGATE(15,6,(ROW(Tickets!$G$2:$G$161)-ROW(Tickets!$G$2)+1)/(Tickets!$G$2:$G$161=$I$3),ROWS($I$4:I28)))&amp;" - "&amp;INDEX(Tickets!$E$2:$E$161,_xlfn.AGGREGATE(15,6,(ROW(Tickets!$G$2:$G$161)-ROW(Tickets!$G$2)+1)/(Tickets!$G$2:$G$161=$I$3),ROWS($I$4:I28))),"")</f>
        <v/>
      </c>
      <c r="J28" s="2"/>
    </row>
    <row r="29" spans="1:10" ht="36" customHeight="1" x14ac:dyDescent="0.2">
      <c r="A29" s="16" t="str">
        <f>IFERROR(INDEX(Tickets!$A$2:$A$161,_xlfn.AGGREGATE(15,6,(ROW(Tickets!$G$2:$G$161)-ROW(Tickets!$G$2)+1)/(Tickets!$G$2:$G$161=$A$3),ROWS($A$4:A29)))&amp;" - "&amp;INDEX(Tickets!$E$2:$E$161,_xlfn.AGGREGATE(15,6,(ROW(Tickets!$G$2:$G$161)-ROW(Tickets!$G$2)+1)/(Tickets!$G$2:$G$161=$A$3),ROWS($A$4:A29))),"")</f>
        <v>WPT-036 - Show hired Employees count</v>
      </c>
      <c r="B29" s="2"/>
      <c r="C29" s="16" t="str">
        <f>IFERROR(INDEX(Tickets!$A$2:$A$161,_xlfn.AGGREGATE(15,6,(ROW(Tickets!$G$2:$G$161)-ROW(Tickets!$G$2)+1)/(Tickets!$G$2:$G$161=$C$3),ROWS($C$4:C29)))&amp;" - "&amp;INDEX(Tickets!$E$2:$E$161,_xlfn.AGGREGATE(15,6,(ROW(Tickets!$G$2:$G$161)-ROW(Tickets!$G$2)+1)/(Tickets!$G$2:$G$161=$C$3),ROWS($C$4:C29))),"")</f>
        <v/>
      </c>
      <c r="D29" s="2"/>
      <c r="E29" s="16" t="str">
        <f>IFERROR(INDEX(Tickets!$A$2:$A$161,_xlfn.AGGREGATE(15,6,(ROW(Tickets!$G$2:$G$161)-ROW(Tickets!$G$2)+1)/(Tickets!$G$2:$G$161=$E$3),ROWS($E$4:E29)))&amp;" - "&amp;INDEX(Tickets!$E$2:$E$161,_xlfn.AGGREGATE(15,6,(ROW(Tickets!$G$2:$G$161)-ROW(Tickets!$G$2)+1)/(Tickets!$G$2:$G$161=$E$3),ROWS($E$4:E29))),"")</f>
        <v/>
      </c>
      <c r="F29" s="2"/>
      <c r="G29" s="16" t="str">
        <f>IFERROR(INDEX(Tickets!$A$2:$A$161,_xlfn.AGGREGATE(15,6,(ROW(Tickets!$G$2:$G$161)-ROW(Tickets!$G$2)+1)/(Tickets!$G$2:$G$161=$G$3),ROWS($G$4:G29)))&amp;" - "&amp;INDEX(Tickets!$E$2:$E$161,_xlfn.AGGREGATE(15,6,(ROW(Tickets!$G$2:$G$161)-ROW(Tickets!$G$2)+1)/(Tickets!$G$2:$G$161=$G$3),ROWS($G$4:G29))),"")</f>
        <v/>
      </c>
      <c r="H29" s="2"/>
      <c r="I29" s="16" t="str">
        <f>IFERROR(INDEX(Tickets!$A$2:$A$161,_xlfn.AGGREGATE(15,6,(ROW(Tickets!$G$2:$G$161)-ROW(Tickets!$G$2)+1)/(Tickets!$G$2:$G$161=$I$3),ROWS($I$4:I29)))&amp;" - "&amp;INDEX(Tickets!$E$2:$E$161,_xlfn.AGGREGATE(15,6,(ROW(Tickets!$G$2:$G$161)-ROW(Tickets!$G$2)+1)/(Tickets!$G$2:$G$161=$I$3),ROWS($I$4:I29))),"")</f>
        <v/>
      </c>
      <c r="J29" s="2"/>
    </row>
    <row r="30" spans="1:10" ht="36" customHeight="1" x14ac:dyDescent="0.2">
      <c r="A30" s="16" t="str">
        <f>IFERROR(INDEX(Tickets!$A$2:$A$161,_xlfn.AGGREGATE(15,6,(ROW(Tickets!$G$2:$G$161)-ROW(Tickets!$G$2)+1)/(Tickets!$G$2:$G$161=$A$3),ROWS($A$4:A30)))&amp;" - "&amp;INDEX(Tickets!$E$2:$E$161,_xlfn.AGGREGATE(15,6,(ROW(Tickets!$G$2:$G$161)-ROW(Tickets!$G$2)+1)/(Tickets!$G$2:$G$161=$A$3),ROWS($A$4:A30))),"")</f>
        <v>WPT-037 - Show event summary cards</v>
      </c>
      <c r="B30" s="2"/>
      <c r="C30" s="16" t="str">
        <f>IFERROR(INDEX(Tickets!$A$2:$A$161,_xlfn.AGGREGATE(15,6,(ROW(Tickets!$G$2:$G$161)-ROW(Tickets!$G$2)+1)/(Tickets!$G$2:$G$161=$C$3),ROWS($C$4:C30)))&amp;" - "&amp;INDEX(Tickets!$E$2:$E$161,_xlfn.AGGREGATE(15,6,(ROW(Tickets!$G$2:$G$161)-ROW(Tickets!$G$2)+1)/(Tickets!$G$2:$G$161=$C$3),ROWS($C$4:C30))),"")</f>
        <v/>
      </c>
      <c r="D30" s="2"/>
      <c r="E30" s="16" t="str">
        <f>IFERROR(INDEX(Tickets!$A$2:$A$161,_xlfn.AGGREGATE(15,6,(ROW(Tickets!$G$2:$G$161)-ROW(Tickets!$G$2)+1)/(Tickets!$G$2:$G$161=$E$3),ROWS($E$4:E30)))&amp;" - "&amp;INDEX(Tickets!$E$2:$E$161,_xlfn.AGGREGATE(15,6,(ROW(Tickets!$G$2:$G$161)-ROW(Tickets!$G$2)+1)/(Tickets!$G$2:$G$161=$E$3),ROWS($E$4:E30))),"")</f>
        <v/>
      </c>
      <c r="F30" s="2"/>
      <c r="G30" s="16" t="str">
        <f>IFERROR(INDEX(Tickets!$A$2:$A$161,_xlfn.AGGREGATE(15,6,(ROW(Tickets!$G$2:$G$161)-ROW(Tickets!$G$2)+1)/(Tickets!$G$2:$G$161=$G$3),ROWS($G$4:G30)))&amp;" - "&amp;INDEX(Tickets!$E$2:$E$161,_xlfn.AGGREGATE(15,6,(ROW(Tickets!$G$2:$G$161)-ROW(Tickets!$G$2)+1)/(Tickets!$G$2:$G$161=$G$3),ROWS($G$4:G30))),"")</f>
        <v/>
      </c>
      <c r="H30" s="2"/>
      <c r="I30" s="16" t="str">
        <f>IFERROR(INDEX(Tickets!$A$2:$A$161,_xlfn.AGGREGATE(15,6,(ROW(Tickets!$G$2:$G$161)-ROW(Tickets!$G$2)+1)/(Tickets!$G$2:$G$161=$I$3),ROWS($I$4:I30)))&amp;" - "&amp;INDEX(Tickets!$E$2:$E$161,_xlfn.AGGREGATE(15,6,(ROW(Tickets!$G$2:$G$161)-ROW(Tickets!$G$2)+1)/(Tickets!$G$2:$G$161=$I$3),ROWS($I$4:I30))),"")</f>
        <v/>
      </c>
      <c r="J30" s="2"/>
    </row>
    <row r="31" spans="1:10" ht="36" customHeight="1" x14ac:dyDescent="0.2">
      <c r="A31" s="16" t="str">
        <f>IFERROR(INDEX(Tickets!$A$2:$A$161,_xlfn.AGGREGATE(15,6,(ROW(Tickets!$G$2:$G$161)-ROW(Tickets!$G$2)+1)/(Tickets!$G$2:$G$161=$A$3),ROWS($A$4:A31)))&amp;" - "&amp;INDEX(Tickets!$E$2:$E$161,_xlfn.AGGREGATE(15,6,(ROW(Tickets!$G$2:$G$161)-ROW(Tickets!$G$2)+1)/(Tickets!$G$2:$G$161=$A$3),ROWS($A$4:A31))),"")</f>
        <v>WPT-038 - Employer Job Dashboard and Job Postings</v>
      </c>
      <c r="B31" s="2"/>
      <c r="C31" s="16" t="str">
        <f>IFERROR(INDEX(Tickets!$A$2:$A$161,_xlfn.AGGREGATE(15,6,(ROW(Tickets!$G$2:$G$161)-ROW(Tickets!$G$2)+1)/(Tickets!$G$2:$G$161=$C$3),ROWS($C$4:C31)))&amp;" - "&amp;INDEX(Tickets!$E$2:$E$161,_xlfn.AGGREGATE(15,6,(ROW(Tickets!$G$2:$G$161)-ROW(Tickets!$G$2)+1)/(Tickets!$G$2:$G$161=$C$3),ROWS($C$4:C31))),"")</f>
        <v/>
      </c>
      <c r="D31" s="2"/>
      <c r="E31" s="16" t="str">
        <f>IFERROR(INDEX(Tickets!$A$2:$A$161,_xlfn.AGGREGATE(15,6,(ROW(Tickets!$G$2:$G$161)-ROW(Tickets!$G$2)+1)/(Tickets!$G$2:$G$161=$E$3),ROWS($E$4:E31)))&amp;" - "&amp;INDEX(Tickets!$E$2:$E$161,_xlfn.AGGREGATE(15,6,(ROW(Tickets!$G$2:$G$161)-ROW(Tickets!$G$2)+1)/(Tickets!$G$2:$G$161=$E$3),ROWS($E$4:E31))),"")</f>
        <v/>
      </c>
      <c r="F31" s="2"/>
      <c r="G31" s="16" t="str">
        <f>IFERROR(INDEX(Tickets!$A$2:$A$161,_xlfn.AGGREGATE(15,6,(ROW(Tickets!$G$2:$G$161)-ROW(Tickets!$G$2)+1)/(Tickets!$G$2:$G$161=$G$3),ROWS($G$4:G31)))&amp;" - "&amp;INDEX(Tickets!$E$2:$E$161,_xlfn.AGGREGATE(15,6,(ROW(Tickets!$G$2:$G$161)-ROW(Tickets!$G$2)+1)/(Tickets!$G$2:$G$161=$G$3),ROWS($G$4:G31))),"")</f>
        <v/>
      </c>
      <c r="H31" s="2"/>
      <c r="I31" s="16" t="str">
        <f>IFERROR(INDEX(Tickets!$A$2:$A$161,_xlfn.AGGREGATE(15,6,(ROW(Tickets!$G$2:$G$161)-ROW(Tickets!$G$2)+1)/(Tickets!$G$2:$G$161=$I$3),ROWS($I$4:I31)))&amp;" - "&amp;INDEX(Tickets!$E$2:$E$161,_xlfn.AGGREGATE(15,6,(ROW(Tickets!$G$2:$G$161)-ROW(Tickets!$G$2)+1)/(Tickets!$G$2:$G$161=$I$3),ROWS($I$4:I31))),"")</f>
        <v/>
      </c>
      <c r="J31" s="2"/>
    </row>
    <row r="32" spans="1:10" ht="36" customHeight="1" x14ac:dyDescent="0.2">
      <c r="A32" s="16" t="str">
        <f>IFERROR(INDEX(Tickets!$A$2:$A$161,_xlfn.AGGREGATE(15,6,(ROW(Tickets!$G$2:$G$161)-ROW(Tickets!$G$2)+1)/(Tickets!$G$2:$G$161=$A$3),ROWS($A$4:A32)))&amp;" - "&amp;INDEX(Tickets!$E$2:$E$161,_xlfn.AGGREGATE(15,6,(ROW(Tickets!$G$2:$G$161)-ROW(Tickets!$G$2)+1)/(Tickets!$G$2:$G$161=$A$3),ROWS($A$4:A32))),"")</f>
        <v>WPT-039 - View all job postings</v>
      </c>
      <c r="B32" s="2"/>
      <c r="C32" s="16" t="str">
        <f>IFERROR(INDEX(Tickets!$A$2:$A$161,_xlfn.AGGREGATE(15,6,(ROW(Tickets!$G$2:$G$161)-ROW(Tickets!$G$2)+1)/(Tickets!$G$2:$G$161=$C$3),ROWS($C$4:C32)))&amp;" - "&amp;INDEX(Tickets!$E$2:$E$161,_xlfn.AGGREGATE(15,6,(ROW(Tickets!$G$2:$G$161)-ROW(Tickets!$G$2)+1)/(Tickets!$G$2:$G$161=$C$3),ROWS($C$4:C32))),"")</f>
        <v/>
      </c>
      <c r="D32" s="2"/>
      <c r="E32" s="16" t="str">
        <f>IFERROR(INDEX(Tickets!$A$2:$A$161,_xlfn.AGGREGATE(15,6,(ROW(Tickets!$G$2:$G$161)-ROW(Tickets!$G$2)+1)/(Tickets!$G$2:$G$161=$E$3),ROWS($E$4:E32)))&amp;" - "&amp;INDEX(Tickets!$E$2:$E$161,_xlfn.AGGREGATE(15,6,(ROW(Tickets!$G$2:$G$161)-ROW(Tickets!$G$2)+1)/(Tickets!$G$2:$G$161=$E$3),ROWS($E$4:E32))),"")</f>
        <v/>
      </c>
      <c r="F32" s="2"/>
      <c r="G32" s="16" t="str">
        <f>IFERROR(INDEX(Tickets!$A$2:$A$161,_xlfn.AGGREGATE(15,6,(ROW(Tickets!$G$2:$G$161)-ROW(Tickets!$G$2)+1)/(Tickets!$G$2:$G$161=$G$3),ROWS($G$4:G32)))&amp;" - "&amp;INDEX(Tickets!$E$2:$E$161,_xlfn.AGGREGATE(15,6,(ROW(Tickets!$G$2:$G$161)-ROW(Tickets!$G$2)+1)/(Tickets!$G$2:$G$161=$G$3),ROWS($G$4:G32))),"")</f>
        <v/>
      </c>
      <c r="H32" s="2"/>
      <c r="I32" s="16" t="str">
        <f>IFERROR(INDEX(Tickets!$A$2:$A$161,_xlfn.AGGREGATE(15,6,(ROW(Tickets!$G$2:$G$161)-ROW(Tickets!$G$2)+1)/(Tickets!$G$2:$G$161=$I$3),ROWS($I$4:I32)))&amp;" - "&amp;INDEX(Tickets!$E$2:$E$161,_xlfn.AGGREGATE(15,6,(ROW(Tickets!$G$2:$G$161)-ROW(Tickets!$G$2)+1)/(Tickets!$G$2:$G$161=$I$3),ROWS($I$4:I32))),"")</f>
        <v/>
      </c>
      <c r="J32" s="2"/>
    </row>
    <row r="33" spans="1:10" ht="36" customHeight="1" x14ac:dyDescent="0.2">
      <c r="A33" s="16" t="str">
        <f>IFERROR(INDEX(Tickets!$A$2:$A$161,_xlfn.AGGREGATE(15,6,(ROW(Tickets!$G$2:$G$161)-ROW(Tickets!$G$2)+1)/(Tickets!$G$2:$G$161=$A$3),ROWS($A$4:A33)))&amp;" - "&amp;INDEX(Tickets!$E$2:$E$161,_xlfn.AGGREGATE(15,6,(ROW(Tickets!$G$2:$G$161)-ROW(Tickets!$G$2)+1)/(Tickets!$G$2:$G$161=$A$3),ROWS($A$4:A33))),"")</f>
        <v>WPT-040 - Create job postings list page</v>
      </c>
      <c r="B33" s="2"/>
      <c r="C33" s="16" t="str">
        <f>IFERROR(INDEX(Tickets!$A$2:$A$161,_xlfn.AGGREGATE(15,6,(ROW(Tickets!$G$2:$G$161)-ROW(Tickets!$G$2)+1)/(Tickets!$G$2:$G$161=$C$3),ROWS($C$4:C33)))&amp;" - "&amp;INDEX(Tickets!$E$2:$E$161,_xlfn.AGGREGATE(15,6,(ROW(Tickets!$G$2:$G$161)-ROW(Tickets!$G$2)+1)/(Tickets!$G$2:$G$161=$C$3),ROWS($C$4:C33))),"")</f>
        <v/>
      </c>
      <c r="D33" s="2"/>
      <c r="E33" s="16" t="str">
        <f>IFERROR(INDEX(Tickets!$A$2:$A$161,_xlfn.AGGREGATE(15,6,(ROW(Tickets!$G$2:$G$161)-ROW(Tickets!$G$2)+1)/(Tickets!$G$2:$G$161=$E$3),ROWS($E$4:E33)))&amp;" - "&amp;INDEX(Tickets!$E$2:$E$161,_xlfn.AGGREGATE(15,6,(ROW(Tickets!$G$2:$G$161)-ROW(Tickets!$G$2)+1)/(Tickets!$G$2:$G$161=$E$3),ROWS($E$4:E33))),"")</f>
        <v/>
      </c>
      <c r="F33" s="2"/>
      <c r="G33" s="16" t="str">
        <f>IFERROR(INDEX(Tickets!$A$2:$A$161,_xlfn.AGGREGATE(15,6,(ROW(Tickets!$G$2:$G$161)-ROW(Tickets!$G$2)+1)/(Tickets!$G$2:$G$161=$G$3),ROWS($G$4:G33)))&amp;" - "&amp;INDEX(Tickets!$E$2:$E$161,_xlfn.AGGREGATE(15,6,(ROW(Tickets!$G$2:$G$161)-ROW(Tickets!$G$2)+1)/(Tickets!$G$2:$G$161=$G$3),ROWS($G$4:G33))),"")</f>
        <v/>
      </c>
      <c r="H33" s="2"/>
      <c r="I33" s="16" t="str">
        <f>IFERROR(INDEX(Tickets!$A$2:$A$161,_xlfn.AGGREGATE(15,6,(ROW(Tickets!$G$2:$G$161)-ROW(Tickets!$G$2)+1)/(Tickets!$G$2:$G$161=$I$3),ROWS($I$4:I33)))&amp;" - "&amp;INDEX(Tickets!$E$2:$E$161,_xlfn.AGGREGATE(15,6,(ROW(Tickets!$G$2:$G$161)-ROW(Tickets!$G$2)+1)/(Tickets!$G$2:$G$161=$I$3),ROWS($I$4:I33))),"")</f>
        <v/>
      </c>
      <c r="J33" s="2"/>
    </row>
    <row r="34" spans="1:10" ht="36" customHeight="1" x14ac:dyDescent="0.2">
      <c r="A34" s="16" t="str">
        <f>IFERROR(INDEX(Tickets!$A$2:$A$161,_xlfn.AGGREGATE(15,6,(ROW(Tickets!$G$2:$G$161)-ROW(Tickets!$G$2)+1)/(Tickets!$G$2:$G$161=$A$3),ROWS($A$4:A34)))&amp;" - "&amp;INDEX(Tickets!$E$2:$E$161,_xlfn.AGGREGATE(15,6,(ROW(Tickets!$G$2:$G$161)-ROW(Tickets!$G$2)+1)/(Tickets!$G$2:$G$161=$A$3),ROWS($A$4:A34))),"")</f>
        <v>WPT-041 - Display job ID and job name</v>
      </c>
      <c r="B34" s="2"/>
      <c r="C34" s="16" t="str">
        <f>IFERROR(INDEX(Tickets!$A$2:$A$161,_xlfn.AGGREGATE(15,6,(ROW(Tickets!$G$2:$G$161)-ROW(Tickets!$G$2)+1)/(Tickets!$G$2:$G$161=$C$3),ROWS($C$4:C34)))&amp;" - "&amp;INDEX(Tickets!$E$2:$E$161,_xlfn.AGGREGATE(15,6,(ROW(Tickets!$G$2:$G$161)-ROW(Tickets!$G$2)+1)/(Tickets!$G$2:$G$161=$C$3),ROWS($C$4:C34))),"")</f>
        <v/>
      </c>
      <c r="D34" s="2"/>
      <c r="E34" s="16" t="str">
        <f>IFERROR(INDEX(Tickets!$A$2:$A$161,_xlfn.AGGREGATE(15,6,(ROW(Tickets!$G$2:$G$161)-ROW(Tickets!$G$2)+1)/(Tickets!$G$2:$G$161=$E$3),ROWS($E$4:E34)))&amp;" - "&amp;INDEX(Tickets!$E$2:$E$161,_xlfn.AGGREGATE(15,6,(ROW(Tickets!$G$2:$G$161)-ROW(Tickets!$G$2)+1)/(Tickets!$G$2:$G$161=$E$3),ROWS($E$4:E34))),"")</f>
        <v/>
      </c>
      <c r="F34" s="2"/>
      <c r="G34" s="16" t="str">
        <f>IFERROR(INDEX(Tickets!$A$2:$A$161,_xlfn.AGGREGATE(15,6,(ROW(Tickets!$G$2:$G$161)-ROW(Tickets!$G$2)+1)/(Tickets!$G$2:$G$161=$G$3),ROWS($G$4:G34)))&amp;" - "&amp;INDEX(Tickets!$E$2:$E$161,_xlfn.AGGREGATE(15,6,(ROW(Tickets!$G$2:$G$161)-ROW(Tickets!$G$2)+1)/(Tickets!$G$2:$G$161=$G$3),ROWS($G$4:G34))),"")</f>
        <v/>
      </c>
      <c r="H34" s="2"/>
      <c r="I34" s="16" t="str">
        <f>IFERROR(INDEX(Tickets!$A$2:$A$161,_xlfn.AGGREGATE(15,6,(ROW(Tickets!$G$2:$G$161)-ROW(Tickets!$G$2)+1)/(Tickets!$G$2:$G$161=$I$3),ROWS($I$4:I34)))&amp;" - "&amp;INDEX(Tickets!$E$2:$E$161,_xlfn.AGGREGATE(15,6,(ROW(Tickets!$G$2:$G$161)-ROW(Tickets!$G$2)+1)/(Tickets!$G$2:$G$161=$I$3),ROWS($I$4:I34))),"")</f>
        <v/>
      </c>
      <c r="J34" s="2"/>
    </row>
    <row r="35" spans="1:10" ht="36" customHeight="1" x14ac:dyDescent="0.2">
      <c r="A35" s="16" t="str">
        <f>IFERROR(INDEX(Tickets!$A$2:$A$161,_xlfn.AGGREGATE(15,6,(ROW(Tickets!$G$2:$G$161)-ROW(Tickets!$G$2)+1)/(Tickets!$G$2:$G$161=$A$3),ROWS($A$4:A35)))&amp;" - "&amp;INDEX(Tickets!$E$2:$E$161,_xlfn.AGGREGATE(15,6,(ROW(Tickets!$G$2:$G$161)-ROW(Tickets!$G$2)+1)/(Tickets!$G$2:$G$161=$A$3),ROWS($A$4:A35))),"")</f>
        <v>WPT-042 - Display Employees applied count</v>
      </c>
      <c r="B35" s="2"/>
      <c r="C35" s="16" t="str">
        <f>IFERROR(INDEX(Tickets!$A$2:$A$161,_xlfn.AGGREGATE(15,6,(ROW(Tickets!$G$2:$G$161)-ROW(Tickets!$G$2)+1)/(Tickets!$G$2:$G$161=$C$3),ROWS($C$4:C35)))&amp;" - "&amp;INDEX(Tickets!$E$2:$E$161,_xlfn.AGGREGATE(15,6,(ROW(Tickets!$G$2:$G$161)-ROW(Tickets!$G$2)+1)/(Tickets!$G$2:$G$161=$C$3),ROWS($C$4:C35))),"")</f>
        <v/>
      </c>
      <c r="D35" s="2"/>
      <c r="E35" s="16" t="str">
        <f>IFERROR(INDEX(Tickets!$A$2:$A$161,_xlfn.AGGREGATE(15,6,(ROW(Tickets!$G$2:$G$161)-ROW(Tickets!$G$2)+1)/(Tickets!$G$2:$G$161=$E$3),ROWS($E$4:E35)))&amp;" - "&amp;INDEX(Tickets!$E$2:$E$161,_xlfn.AGGREGATE(15,6,(ROW(Tickets!$G$2:$G$161)-ROW(Tickets!$G$2)+1)/(Tickets!$G$2:$G$161=$E$3),ROWS($E$4:E35))),"")</f>
        <v/>
      </c>
      <c r="F35" s="2"/>
      <c r="G35" s="16" t="str">
        <f>IFERROR(INDEX(Tickets!$A$2:$A$161,_xlfn.AGGREGATE(15,6,(ROW(Tickets!$G$2:$G$161)-ROW(Tickets!$G$2)+1)/(Tickets!$G$2:$G$161=$G$3),ROWS($G$4:G35)))&amp;" - "&amp;INDEX(Tickets!$E$2:$E$161,_xlfn.AGGREGATE(15,6,(ROW(Tickets!$G$2:$G$161)-ROW(Tickets!$G$2)+1)/(Tickets!$G$2:$G$161=$G$3),ROWS($G$4:G35))),"")</f>
        <v/>
      </c>
      <c r="H35" s="2"/>
      <c r="I35" s="16" t="str">
        <f>IFERROR(INDEX(Tickets!$A$2:$A$161,_xlfn.AGGREGATE(15,6,(ROW(Tickets!$G$2:$G$161)-ROW(Tickets!$G$2)+1)/(Tickets!$G$2:$G$161=$I$3),ROWS($I$4:I35)))&amp;" - "&amp;INDEX(Tickets!$E$2:$E$161,_xlfn.AGGREGATE(15,6,(ROW(Tickets!$G$2:$G$161)-ROW(Tickets!$G$2)+1)/(Tickets!$G$2:$G$161=$I$3),ROWS($I$4:I35))),"")</f>
        <v/>
      </c>
      <c r="J35" s="2"/>
    </row>
    <row r="36" spans="1:10" ht="36" customHeight="1" x14ac:dyDescent="0.2">
      <c r="A36" s="16" t="str">
        <f>IFERROR(INDEX(Tickets!$A$2:$A$161,_xlfn.AGGREGATE(15,6,(ROW(Tickets!$G$2:$G$161)-ROW(Tickets!$G$2)+1)/(Tickets!$G$2:$G$161=$A$3),ROWS($A$4:A36)))&amp;" - "&amp;INDEX(Tickets!$E$2:$E$161,_xlfn.AGGREGATE(15,6,(ROW(Tickets!$G$2:$G$161)-ROW(Tickets!$G$2)+1)/(Tickets!$G$2:$G$161=$A$3),ROWS($A$4:A36))),"")</f>
        <v>WPT-043 - Create clickable job ID navigation</v>
      </c>
      <c r="B36" s="2"/>
      <c r="C36" s="16" t="str">
        <f>IFERROR(INDEX(Tickets!$A$2:$A$161,_xlfn.AGGREGATE(15,6,(ROW(Tickets!$G$2:$G$161)-ROW(Tickets!$G$2)+1)/(Tickets!$G$2:$G$161=$C$3),ROWS($C$4:C36)))&amp;" - "&amp;INDEX(Tickets!$E$2:$E$161,_xlfn.AGGREGATE(15,6,(ROW(Tickets!$G$2:$G$161)-ROW(Tickets!$G$2)+1)/(Tickets!$G$2:$G$161=$C$3),ROWS($C$4:C36))),"")</f>
        <v/>
      </c>
      <c r="D36" s="2"/>
      <c r="E36" s="16" t="str">
        <f>IFERROR(INDEX(Tickets!$A$2:$A$161,_xlfn.AGGREGATE(15,6,(ROW(Tickets!$G$2:$G$161)-ROW(Tickets!$G$2)+1)/(Tickets!$G$2:$G$161=$E$3),ROWS($E$4:E36)))&amp;" - "&amp;INDEX(Tickets!$E$2:$E$161,_xlfn.AGGREGATE(15,6,(ROW(Tickets!$G$2:$G$161)-ROW(Tickets!$G$2)+1)/(Tickets!$G$2:$G$161=$E$3),ROWS($E$4:E36))),"")</f>
        <v/>
      </c>
      <c r="F36" s="2"/>
      <c r="G36" s="16" t="str">
        <f>IFERROR(INDEX(Tickets!$A$2:$A$161,_xlfn.AGGREGATE(15,6,(ROW(Tickets!$G$2:$G$161)-ROW(Tickets!$G$2)+1)/(Tickets!$G$2:$G$161=$G$3),ROWS($G$4:G36)))&amp;" - "&amp;INDEX(Tickets!$E$2:$E$161,_xlfn.AGGREGATE(15,6,(ROW(Tickets!$G$2:$G$161)-ROW(Tickets!$G$2)+1)/(Tickets!$G$2:$G$161=$G$3),ROWS($G$4:G36))),"")</f>
        <v/>
      </c>
      <c r="H36" s="2"/>
      <c r="I36" s="16" t="str">
        <f>IFERROR(INDEX(Tickets!$A$2:$A$161,_xlfn.AGGREGATE(15,6,(ROW(Tickets!$G$2:$G$161)-ROW(Tickets!$G$2)+1)/(Tickets!$G$2:$G$161=$I$3),ROWS($I$4:I36)))&amp;" - "&amp;INDEX(Tickets!$E$2:$E$161,_xlfn.AGGREGATE(15,6,(ROW(Tickets!$G$2:$G$161)-ROW(Tickets!$G$2)+1)/(Tickets!$G$2:$G$161=$I$3),ROWS($I$4:I36))),"")</f>
        <v/>
      </c>
      <c r="J36" s="2"/>
    </row>
    <row r="37" spans="1:10" ht="36" customHeight="1" x14ac:dyDescent="0.2">
      <c r="A37" s="16" t="str">
        <f>IFERROR(INDEX(Tickets!$A$2:$A$161,_xlfn.AGGREGATE(15,6,(ROW(Tickets!$G$2:$G$161)-ROW(Tickets!$G$2)+1)/(Tickets!$G$2:$G$161=$A$3),ROWS($A$4:A37)))&amp;" - "&amp;INDEX(Tickets!$E$2:$E$161,_xlfn.AGGREGATE(15,6,(ROW(Tickets!$G$2:$G$161)-ROW(Tickets!$G$2)+1)/(Tickets!$G$2:$G$161=$A$3),ROWS($A$4:A37))),"")</f>
        <v>WPT-044 - Create new job posting</v>
      </c>
      <c r="B37" s="2"/>
      <c r="C37" s="16" t="str">
        <f>IFERROR(INDEX(Tickets!$A$2:$A$161,_xlfn.AGGREGATE(15,6,(ROW(Tickets!$G$2:$G$161)-ROW(Tickets!$G$2)+1)/(Tickets!$G$2:$G$161=$C$3),ROWS($C$4:C37)))&amp;" - "&amp;INDEX(Tickets!$E$2:$E$161,_xlfn.AGGREGATE(15,6,(ROW(Tickets!$G$2:$G$161)-ROW(Tickets!$G$2)+1)/(Tickets!$G$2:$G$161=$C$3),ROWS($C$4:C37))),"")</f>
        <v/>
      </c>
      <c r="D37" s="2"/>
      <c r="E37" s="16" t="str">
        <f>IFERROR(INDEX(Tickets!$A$2:$A$161,_xlfn.AGGREGATE(15,6,(ROW(Tickets!$G$2:$G$161)-ROW(Tickets!$G$2)+1)/(Tickets!$G$2:$G$161=$E$3),ROWS($E$4:E37)))&amp;" - "&amp;INDEX(Tickets!$E$2:$E$161,_xlfn.AGGREGATE(15,6,(ROW(Tickets!$G$2:$G$161)-ROW(Tickets!$G$2)+1)/(Tickets!$G$2:$G$161=$E$3),ROWS($E$4:E37))),"")</f>
        <v/>
      </c>
      <c r="F37" s="2"/>
      <c r="G37" s="16" t="str">
        <f>IFERROR(INDEX(Tickets!$A$2:$A$161,_xlfn.AGGREGATE(15,6,(ROW(Tickets!$G$2:$G$161)-ROW(Tickets!$G$2)+1)/(Tickets!$G$2:$G$161=$G$3),ROWS($G$4:G37)))&amp;" - "&amp;INDEX(Tickets!$E$2:$E$161,_xlfn.AGGREGATE(15,6,(ROW(Tickets!$G$2:$G$161)-ROW(Tickets!$G$2)+1)/(Tickets!$G$2:$G$161=$G$3),ROWS($G$4:G37))),"")</f>
        <v/>
      </c>
      <c r="H37" s="2"/>
      <c r="I37" s="16" t="str">
        <f>IFERROR(INDEX(Tickets!$A$2:$A$161,_xlfn.AGGREGATE(15,6,(ROW(Tickets!$G$2:$G$161)-ROW(Tickets!$G$2)+1)/(Tickets!$G$2:$G$161=$I$3),ROWS($I$4:I37)))&amp;" - "&amp;INDEX(Tickets!$E$2:$E$161,_xlfn.AGGREGATE(15,6,(ROW(Tickets!$G$2:$G$161)-ROW(Tickets!$G$2)+1)/(Tickets!$G$2:$G$161=$I$3),ROWS($I$4:I37))),"")</f>
        <v/>
      </c>
      <c r="J37" s="2"/>
    </row>
    <row r="38" spans="1:10" ht="36" customHeight="1" x14ac:dyDescent="0.2">
      <c r="A38" s="16" t="str">
        <f>IFERROR(INDEX(Tickets!$A$2:$A$161,_xlfn.AGGREGATE(15,6,(ROW(Tickets!$G$2:$G$161)-ROW(Tickets!$G$2)+1)/(Tickets!$G$2:$G$161=$A$3),ROWS($A$4:A38)))&amp;" - "&amp;INDEX(Tickets!$E$2:$E$161,_xlfn.AGGREGATE(15,6,(ROW(Tickets!$G$2:$G$161)-ROW(Tickets!$G$2)+1)/(Tickets!$G$2:$G$161=$A$3),ROWS($A$4:A38))),"")</f>
        <v>WPT-045 - Create job posting form UI</v>
      </c>
      <c r="B38" s="2"/>
      <c r="C38" s="16" t="str">
        <f>IFERROR(INDEX(Tickets!$A$2:$A$161,_xlfn.AGGREGATE(15,6,(ROW(Tickets!$G$2:$G$161)-ROW(Tickets!$G$2)+1)/(Tickets!$G$2:$G$161=$C$3),ROWS($C$4:C38)))&amp;" - "&amp;INDEX(Tickets!$E$2:$E$161,_xlfn.AGGREGATE(15,6,(ROW(Tickets!$G$2:$G$161)-ROW(Tickets!$G$2)+1)/(Tickets!$G$2:$G$161=$C$3),ROWS($C$4:C38))),"")</f>
        <v/>
      </c>
      <c r="D38" s="2"/>
      <c r="E38" s="16" t="str">
        <f>IFERROR(INDEX(Tickets!$A$2:$A$161,_xlfn.AGGREGATE(15,6,(ROW(Tickets!$G$2:$G$161)-ROW(Tickets!$G$2)+1)/(Tickets!$G$2:$G$161=$E$3),ROWS($E$4:E38)))&amp;" - "&amp;INDEX(Tickets!$E$2:$E$161,_xlfn.AGGREGATE(15,6,(ROW(Tickets!$G$2:$G$161)-ROW(Tickets!$G$2)+1)/(Tickets!$G$2:$G$161=$E$3),ROWS($E$4:E38))),"")</f>
        <v/>
      </c>
      <c r="F38" s="2"/>
      <c r="G38" s="16" t="str">
        <f>IFERROR(INDEX(Tickets!$A$2:$A$161,_xlfn.AGGREGATE(15,6,(ROW(Tickets!$G$2:$G$161)-ROW(Tickets!$G$2)+1)/(Tickets!$G$2:$G$161=$G$3),ROWS($G$4:G38)))&amp;" - "&amp;INDEX(Tickets!$E$2:$E$161,_xlfn.AGGREGATE(15,6,(ROW(Tickets!$G$2:$G$161)-ROW(Tickets!$G$2)+1)/(Tickets!$G$2:$G$161=$G$3),ROWS($G$4:G38))),"")</f>
        <v/>
      </c>
      <c r="H38" s="2"/>
      <c r="I38" s="16" t="str">
        <f>IFERROR(INDEX(Tickets!$A$2:$A$161,_xlfn.AGGREGATE(15,6,(ROW(Tickets!$G$2:$G$161)-ROW(Tickets!$G$2)+1)/(Tickets!$G$2:$G$161=$I$3),ROWS($I$4:I38)))&amp;" - "&amp;INDEX(Tickets!$E$2:$E$161,_xlfn.AGGREGATE(15,6,(ROW(Tickets!$G$2:$G$161)-ROW(Tickets!$G$2)+1)/(Tickets!$G$2:$G$161=$I$3),ROWS($I$4:I38))),"")</f>
        <v/>
      </c>
      <c r="J38" s="2"/>
    </row>
    <row r="39" spans="1:10" ht="36" customHeight="1" x14ac:dyDescent="0.2">
      <c r="A39" s="16" t="str">
        <f>IFERROR(INDEX(Tickets!$A$2:$A$161,_xlfn.AGGREGATE(15,6,(ROW(Tickets!$G$2:$G$161)-ROW(Tickets!$G$2)+1)/(Tickets!$G$2:$G$161=$A$3),ROWS($A$4:A39)))&amp;" - "&amp;INDEX(Tickets!$E$2:$E$161,_xlfn.AGGREGATE(15,6,(ROW(Tickets!$G$2:$G$161)-ROW(Tickets!$G$2)+1)/(Tickets!$G$2:$G$161=$A$3),ROWS($A$4:A39))),"")</f>
        <v>WPT-046 - Create save job posting API</v>
      </c>
      <c r="B39" s="2"/>
      <c r="C39" s="16" t="str">
        <f>IFERROR(INDEX(Tickets!$A$2:$A$161,_xlfn.AGGREGATE(15,6,(ROW(Tickets!$G$2:$G$161)-ROW(Tickets!$G$2)+1)/(Tickets!$G$2:$G$161=$C$3),ROWS($C$4:C39)))&amp;" - "&amp;INDEX(Tickets!$E$2:$E$161,_xlfn.AGGREGATE(15,6,(ROW(Tickets!$G$2:$G$161)-ROW(Tickets!$G$2)+1)/(Tickets!$G$2:$G$161=$C$3),ROWS($C$4:C39))),"")</f>
        <v/>
      </c>
      <c r="D39" s="2"/>
      <c r="E39" s="16" t="str">
        <f>IFERROR(INDEX(Tickets!$A$2:$A$161,_xlfn.AGGREGATE(15,6,(ROW(Tickets!$G$2:$G$161)-ROW(Tickets!$G$2)+1)/(Tickets!$G$2:$G$161=$E$3),ROWS($E$4:E39)))&amp;" - "&amp;INDEX(Tickets!$E$2:$E$161,_xlfn.AGGREGATE(15,6,(ROW(Tickets!$G$2:$G$161)-ROW(Tickets!$G$2)+1)/(Tickets!$G$2:$G$161=$E$3),ROWS($E$4:E39))),"")</f>
        <v/>
      </c>
      <c r="F39" s="2"/>
      <c r="G39" s="16" t="str">
        <f>IFERROR(INDEX(Tickets!$A$2:$A$161,_xlfn.AGGREGATE(15,6,(ROW(Tickets!$G$2:$G$161)-ROW(Tickets!$G$2)+1)/(Tickets!$G$2:$G$161=$G$3),ROWS($G$4:G39)))&amp;" - "&amp;INDEX(Tickets!$E$2:$E$161,_xlfn.AGGREGATE(15,6,(ROW(Tickets!$G$2:$G$161)-ROW(Tickets!$G$2)+1)/(Tickets!$G$2:$G$161=$G$3),ROWS($G$4:G39))),"")</f>
        <v/>
      </c>
      <c r="H39" s="2"/>
      <c r="I39" s="16" t="str">
        <f>IFERROR(INDEX(Tickets!$A$2:$A$161,_xlfn.AGGREGATE(15,6,(ROW(Tickets!$G$2:$G$161)-ROW(Tickets!$G$2)+1)/(Tickets!$G$2:$G$161=$I$3),ROWS($I$4:I39)))&amp;" - "&amp;INDEX(Tickets!$E$2:$E$161,_xlfn.AGGREGATE(15,6,(ROW(Tickets!$G$2:$G$161)-ROW(Tickets!$G$2)+1)/(Tickets!$G$2:$G$161=$I$3),ROWS($I$4:I39))),"")</f>
        <v/>
      </c>
      <c r="J39" s="2"/>
    </row>
    <row r="40" spans="1:10" ht="36" customHeight="1" x14ac:dyDescent="0.2">
      <c r="A40" s="16" t="str">
        <f>IFERROR(INDEX(Tickets!$A$2:$A$161,_xlfn.AGGREGATE(15,6,(ROW(Tickets!$G$2:$G$161)-ROW(Tickets!$G$2)+1)/(Tickets!$G$2:$G$161=$A$3),ROWS($A$4:A40)))&amp;" - "&amp;INDEX(Tickets!$E$2:$E$161,_xlfn.AGGREGATE(15,6,(ROW(Tickets!$G$2:$G$161)-ROW(Tickets!$G$2)+1)/(Tickets!$G$2:$G$161=$A$3),ROWS($A$4:A40))),"")</f>
        <v>WPT-047 - Validate job posting fields</v>
      </c>
      <c r="B40" s="2"/>
      <c r="C40" s="16" t="str">
        <f>IFERROR(INDEX(Tickets!$A$2:$A$161,_xlfn.AGGREGATE(15,6,(ROW(Tickets!$G$2:$G$161)-ROW(Tickets!$G$2)+1)/(Tickets!$G$2:$G$161=$C$3),ROWS($C$4:C40)))&amp;" - "&amp;INDEX(Tickets!$E$2:$E$161,_xlfn.AGGREGATE(15,6,(ROW(Tickets!$G$2:$G$161)-ROW(Tickets!$G$2)+1)/(Tickets!$G$2:$G$161=$C$3),ROWS($C$4:C40))),"")</f>
        <v/>
      </c>
      <c r="D40" s="2"/>
      <c r="E40" s="16" t="str">
        <f>IFERROR(INDEX(Tickets!$A$2:$A$161,_xlfn.AGGREGATE(15,6,(ROW(Tickets!$G$2:$G$161)-ROW(Tickets!$G$2)+1)/(Tickets!$G$2:$G$161=$E$3),ROWS($E$4:E40)))&amp;" - "&amp;INDEX(Tickets!$E$2:$E$161,_xlfn.AGGREGATE(15,6,(ROW(Tickets!$G$2:$G$161)-ROW(Tickets!$G$2)+1)/(Tickets!$G$2:$G$161=$E$3),ROWS($E$4:E40))),"")</f>
        <v/>
      </c>
      <c r="F40" s="2"/>
      <c r="G40" s="16" t="str">
        <f>IFERROR(INDEX(Tickets!$A$2:$A$161,_xlfn.AGGREGATE(15,6,(ROW(Tickets!$G$2:$G$161)-ROW(Tickets!$G$2)+1)/(Tickets!$G$2:$G$161=$G$3),ROWS($G$4:G40)))&amp;" - "&amp;INDEX(Tickets!$E$2:$E$161,_xlfn.AGGREGATE(15,6,(ROW(Tickets!$G$2:$G$161)-ROW(Tickets!$G$2)+1)/(Tickets!$G$2:$G$161=$G$3),ROWS($G$4:G40))),"")</f>
        <v/>
      </c>
      <c r="H40" s="2"/>
      <c r="I40" s="16" t="str">
        <f>IFERROR(INDEX(Tickets!$A$2:$A$161,_xlfn.AGGREGATE(15,6,(ROW(Tickets!$G$2:$G$161)-ROW(Tickets!$G$2)+1)/(Tickets!$G$2:$G$161=$I$3),ROWS($I$4:I40)))&amp;" - "&amp;INDEX(Tickets!$E$2:$E$161,_xlfn.AGGREGATE(15,6,(ROW(Tickets!$G$2:$G$161)-ROW(Tickets!$G$2)+1)/(Tickets!$G$2:$G$161=$I$3),ROWS($I$4:I40))),"")</f>
        <v/>
      </c>
      <c r="J40" s="2"/>
    </row>
    <row r="41" spans="1:10" ht="36" customHeight="1" x14ac:dyDescent="0.2">
      <c r="A41" s="16" t="str">
        <f>IFERROR(INDEX(Tickets!$A$2:$A$161,_xlfn.AGGREGATE(15,6,(ROW(Tickets!$G$2:$G$161)-ROW(Tickets!$G$2)+1)/(Tickets!$G$2:$G$161=$A$3),ROWS($A$4:A41)))&amp;" - "&amp;INDEX(Tickets!$E$2:$E$161,_xlfn.AGGREGATE(15,6,(ROW(Tickets!$G$2:$G$161)-ROW(Tickets!$G$2)+1)/(Tickets!$G$2:$G$161=$A$3),ROWS($A$4:A41))),"")</f>
        <v>WPT-048 - Edit existing job posting</v>
      </c>
      <c r="B41" s="2"/>
      <c r="C41" s="16" t="str">
        <f>IFERROR(INDEX(Tickets!$A$2:$A$161,_xlfn.AGGREGATE(15,6,(ROW(Tickets!$G$2:$G$161)-ROW(Tickets!$G$2)+1)/(Tickets!$G$2:$G$161=$C$3),ROWS($C$4:C41)))&amp;" - "&amp;INDEX(Tickets!$E$2:$E$161,_xlfn.AGGREGATE(15,6,(ROW(Tickets!$G$2:$G$161)-ROW(Tickets!$G$2)+1)/(Tickets!$G$2:$G$161=$C$3),ROWS($C$4:C41))),"")</f>
        <v/>
      </c>
      <c r="D41" s="2"/>
      <c r="E41" s="16" t="str">
        <f>IFERROR(INDEX(Tickets!$A$2:$A$161,_xlfn.AGGREGATE(15,6,(ROW(Tickets!$G$2:$G$161)-ROW(Tickets!$G$2)+1)/(Tickets!$G$2:$G$161=$E$3),ROWS($E$4:E41)))&amp;" - "&amp;INDEX(Tickets!$E$2:$E$161,_xlfn.AGGREGATE(15,6,(ROW(Tickets!$G$2:$G$161)-ROW(Tickets!$G$2)+1)/(Tickets!$G$2:$G$161=$E$3),ROWS($E$4:E41))),"")</f>
        <v/>
      </c>
      <c r="F41" s="2"/>
      <c r="G41" s="16" t="str">
        <f>IFERROR(INDEX(Tickets!$A$2:$A$161,_xlfn.AGGREGATE(15,6,(ROW(Tickets!$G$2:$G$161)-ROW(Tickets!$G$2)+1)/(Tickets!$G$2:$G$161=$G$3),ROWS($G$4:G41)))&amp;" - "&amp;INDEX(Tickets!$E$2:$E$161,_xlfn.AGGREGATE(15,6,(ROW(Tickets!$G$2:$G$161)-ROW(Tickets!$G$2)+1)/(Tickets!$G$2:$G$161=$G$3),ROWS($G$4:G41))),"")</f>
        <v/>
      </c>
      <c r="H41" s="2"/>
      <c r="I41" s="16" t="str">
        <f>IFERROR(INDEX(Tickets!$A$2:$A$161,_xlfn.AGGREGATE(15,6,(ROW(Tickets!$G$2:$G$161)-ROW(Tickets!$G$2)+1)/(Tickets!$G$2:$G$161=$I$3),ROWS($I$4:I41)))&amp;" - "&amp;INDEX(Tickets!$E$2:$E$161,_xlfn.AGGREGATE(15,6,(ROW(Tickets!$G$2:$G$161)-ROW(Tickets!$G$2)+1)/(Tickets!$G$2:$G$161=$I$3),ROWS($I$4:I41))),"")</f>
        <v/>
      </c>
      <c r="J41" s="2"/>
    </row>
    <row r="42" spans="1:10" ht="36" customHeight="1" x14ac:dyDescent="0.2">
      <c r="A42" s="16" t="str">
        <f>IFERROR(INDEX(Tickets!$A$2:$A$161,_xlfn.AGGREGATE(15,6,(ROW(Tickets!$G$2:$G$161)-ROW(Tickets!$G$2)+1)/(Tickets!$G$2:$G$161=$A$3),ROWS($A$4:A42)))&amp;" - "&amp;INDEX(Tickets!$E$2:$E$161,_xlfn.AGGREGATE(15,6,(ROW(Tickets!$G$2:$G$161)-ROW(Tickets!$G$2)+1)/(Tickets!$G$2:$G$161=$A$3),ROWS($A$4:A42))),"")</f>
        <v>WPT-049 - Create edit job UI</v>
      </c>
      <c r="B42" s="2"/>
      <c r="C42" s="16" t="str">
        <f>IFERROR(INDEX(Tickets!$A$2:$A$161,_xlfn.AGGREGATE(15,6,(ROW(Tickets!$G$2:$G$161)-ROW(Tickets!$G$2)+1)/(Tickets!$G$2:$G$161=$C$3),ROWS($C$4:C42)))&amp;" - "&amp;INDEX(Tickets!$E$2:$E$161,_xlfn.AGGREGATE(15,6,(ROW(Tickets!$G$2:$G$161)-ROW(Tickets!$G$2)+1)/(Tickets!$G$2:$G$161=$C$3),ROWS($C$4:C42))),"")</f>
        <v/>
      </c>
      <c r="D42" s="2"/>
      <c r="E42" s="16" t="str">
        <f>IFERROR(INDEX(Tickets!$A$2:$A$161,_xlfn.AGGREGATE(15,6,(ROW(Tickets!$G$2:$G$161)-ROW(Tickets!$G$2)+1)/(Tickets!$G$2:$G$161=$E$3),ROWS($E$4:E42)))&amp;" - "&amp;INDEX(Tickets!$E$2:$E$161,_xlfn.AGGREGATE(15,6,(ROW(Tickets!$G$2:$G$161)-ROW(Tickets!$G$2)+1)/(Tickets!$G$2:$G$161=$E$3),ROWS($E$4:E42))),"")</f>
        <v/>
      </c>
      <c r="F42" s="2"/>
      <c r="G42" s="16" t="str">
        <f>IFERROR(INDEX(Tickets!$A$2:$A$161,_xlfn.AGGREGATE(15,6,(ROW(Tickets!$G$2:$G$161)-ROW(Tickets!$G$2)+1)/(Tickets!$G$2:$G$161=$G$3),ROWS($G$4:G42)))&amp;" - "&amp;INDEX(Tickets!$E$2:$E$161,_xlfn.AGGREGATE(15,6,(ROW(Tickets!$G$2:$G$161)-ROW(Tickets!$G$2)+1)/(Tickets!$G$2:$G$161=$G$3),ROWS($G$4:G42))),"")</f>
        <v/>
      </c>
      <c r="H42" s="2"/>
      <c r="I42" s="16" t="str">
        <f>IFERROR(INDEX(Tickets!$A$2:$A$161,_xlfn.AGGREGATE(15,6,(ROW(Tickets!$G$2:$G$161)-ROW(Tickets!$G$2)+1)/(Tickets!$G$2:$G$161=$I$3),ROWS($I$4:I42)))&amp;" - "&amp;INDEX(Tickets!$E$2:$E$161,_xlfn.AGGREGATE(15,6,(ROW(Tickets!$G$2:$G$161)-ROW(Tickets!$G$2)+1)/(Tickets!$G$2:$G$161=$I$3),ROWS($I$4:I42))),"")</f>
        <v/>
      </c>
      <c r="J42" s="2"/>
    </row>
    <row r="43" spans="1:10" ht="36" customHeight="1" x14ac:dyDescent="0.2">
      <c r="A43" s="16" t="str">
        <f>IFERROR(INDEX(Tickets!$A$2:$A$161,_xlfn.AGGREGATE(15,6,(ROW(Tickets!$G$2:$G$161)-ROW(Tickets!$G$2)+1)/(Tickets!$G$2:$G$161=$A$3),ROWS($A$4:A43)))&amp;" - "&amp;INDEX(Tickets!$E$2:$E$161,_xlfn.AGGREGATE(15,6,(ROW(Tickets!$G$2:$G$161)-ROW(Tickets!$G$2)+1)/(Tickets!$G$2:$G$161=$A$3),ROWS($A$4:A43))),"")</f>
        <v>WPT-050 - Create update job API</v>
      </c>
      <c r="B43" s="2"/>
      <c r="C43" s="16" t="str">
        <f>IFERROR(INDEX(Tickets!$A$2:$A$161,_xlfn.AGGREGATE(15,6,(ROW(Tickets!$G$2:$G$161)-ROW(Tickets!$G$2)+1)/(Tickets!$G$2:$G$161=$C$3),ROWS($C$4:C43)))&amp;" - "&amp;INDEX(Tickets!$E$2:$E$161,_xlfn.AGGREGATE(15,6,(ROW(Tickets!$G$2:$G$161)-ROW(Tickets!$G$2)+1)/(Tickets!$G$2:$G$161=$C$3),ROWS($C$4:C43))),"")</f>
        <v/>
      </c>
      <c r="D43" s="2"/>
      <c r="E43" s="16" t="str">
        <f>IFERROR(INDEX(Tickets!$A$2:$A$161,_xlfn.AGGREGATE(15,6,(ROW(Tickets!$G$2:$G$161)-ROW(Tickets!$G$2)+1)/(Tickets!$G$2:$G$161=$E$3),ROWS($E$4:E43)))&amp;" - "&amp;INDEX(Tickets!$E$2:$E$161,_xlfn.AGGREGATE(15,6,(ROW(Tickets!$G$2:$G$161)-ROW(Tickets!$G$2)+1)/(Tickets!$G$2:$G$161=$E$3),ROWS($E$4:E43))),"")</f>
        <v/>
      </c>
      <c r="F43" s="2"/>
      <c r="G43" s="16" t="str">
        <f>IFERROR(INDEX(Tickets!$A$2:$A$161,_xlfn.AGGREGATE(15,6,(ROW(Tickets!$G$2:$G$161)-ROW(Tickets!$G$2)+1)/(Tickets!$G$2:$G$161=$G$3),ROWS($G$4:G43)))&amp;" - "&amp;INDEX(Tickets!$E$2:$E$161,_xlfn.AGGREGATE(15,6,(ROW(Tickets!$G$2:$G$161)-ROW(Tickets!$G$2)+1)/(Tickets!$G$2:$G$161=$G$3),ROWS($G$4:G43))),"")</f>
        <v/>
      </c>
      <c r="H43" s="2"/>
      <c r="I43" s="16" t="str">
        <f>IFERROR(INDEX(Tickets!$A$2:$A$161,_xlfn.AGGREGATE(15,6,(ROW(Tickets!$G$2:$G$161)-ROW(Tickets!$G$2)+1)/(Tickets!$G$2:$G$161=$I$3),ROWS($I$4:I43)))&amp;" - "&amp;INDEX(Tickets!$E$2:$E$161,_xlfn.AGGREGATE(15,6,(ROW(Tickets!$G$2:$G$161)-ROW(Tickets!$G$2)+1)/(Tickets!$G$2:$G$161=$I$3),ROWS($I$4:I43))),"")</f>
        <v/>
      </c>
      <c r="J43" s="2"/>
    </row>
    <row r="44" spans="1:10" ht="36" customHeight="1" x14ac:dyDescent="0.2">
      <c r="A44" s="16" t="str">
        <f>IFERROR(INDEX(Tickets!$A$2:$A$161,_xlfn.AGGREGATE(15,6,(ROW(Tickets!$G$2:$G$161)-ROW(Tickets!$G$2)+1)/(Tickets!$G$2:$G$161=$A$3),ROWS($A$4:A44)))&amp;" - "&amp;INDEX(Tickets!$E$2:$E$161,_xlfn.AGGREGATE(15,6,(ROW(Tickets!$G$2:$G$161)-ROW(Tickets!$G$2)+1)/(Tickets!$G$2:$G$161=$A$3),ROWS($A$4:A44))),"")</f>
        <v>WPT-051 - Delete job posting</v>
      </c>
      <c r="B44" s="2"/>
      <c r="C44" s="16" t="str">
        <f>IFERROR(INDEX(Tickets!$A$2:$A$161,_xlfn.AGGREGATE(15,6,(ROW(Tickets!$G$2:$G$161)-ROW(Tickets!$G$2)+1)/(Tickets!$G$2:$G$161=$C$3),ROWS($C$4:C44)))&amp;" - "&amp;INDEX(Tickets!$E$2:$E$161,_xlfn.AGGREGATE(15,6,(ROW(Tickets!$G$2:$G$161)-ROW(Tickets!$G$2)+1)/(Tickets!$G$2:$G$161=$C$3),ROWS($C$4:C44))),"")</f>
        <v/>
      </c>
      <c r="D44" s="2"/>
      <c r="E44" s="16" t="str">
        <f>IFERROR(INDEX(Tickets!$A$2:$A$161,_xlfn.AGGREGATE(15,6,(ROW(Tickets!$G$2:$G$161)-ROW(Tickets!$G$2)+1)/(Tickets!$G$2:$G$161=$E$3),ROWS($E$4:E44)))&amp;" - "&amp;INDEX(Tickets!$E$2:$E$161,_xlfn.AGGREGATE(15,6,(ROW(Tickets!$G$2:$G$161)-ROW(Tickets!$G$2)+1)/(Tickets!$G$2:$G$161=$E$3),ROWS($E$4:E44))),"")</f>
        <v/>
      </c>
      <c r="F44" s="2"/>
      <c r="G44" s="16" t="str">
        <f>IFERROR(INDEX(Tickets!$A$2:$A$161,_xlfn.AGGREGATE(15,6,(ROW(Tickets!$G$2:$G$161)-ROW(Tickets!$G$2)+1)/(Tickets!$G$2:$G$161=$G$3),ROWS($G$4:G44)))&amp;" - "&amp;INDEX(Tickets!$E$2:$E$161,_xlfn.AGGREGATE(15,6,(ROW(Tickets!$G$2:$G$161)-ROW(Tickets!$G$2)+1)/(Tickets!$G$2:$G$161=$G$3),ROWS($G$4:G44))),"")</f>
        <v/>
      </c>
      <c r="H44" s="2"/>
      <c r="I44" s="16" t="str">
        <f>IFERROR(INDEX(Tickets!$A$2:$A$161,_xlfn.AGGREGATE(15,6,(ROW(Tickets!$G$2:$G$161)-ROW(Tickets!$G$2)+1)/(Tickets!$G$2:$G$161=$I$3),ROWS($I$4:I44)))&amp;" - "&amp;INDEX(Tickets!$E$2:$E$161,_xlfn.AGGREGATE(15,6,(ROW(Tickets!$G$2:$G$161)-ROW(Tickets!$G$2)+1)/(Tickets!$G$2:$G$161=$I$3),ROWS($I$4:I44))),"")</f>
        <v/>
      </c>
      <c r="J44" s="2"/>
    </row>
    <row r="45" spans="1:10" ht="36" customHeight="1" x14ac:dyDescent="0.2">
      <c r="A45" s="16" t="str">
        <f>IFERROR(INDEX(Tickets!$A$2:$A$161,_xlfn.AGGREGATE(15,6,(ROW(Tickets!$G$2:$G$161)-ROW(Tickets!$G$2)+1)/(Tickets!$G$2:$G$161=$A$3),ROWS($A$4:A45)))&amp;" - "&amp;INDEX(Tickets!$E$2:$E$161,_xlfn.AGGREGATE(15,6,(ROW(Tickets!$G$2:$G$161)-ROW(Tickets!$G$2)+1)/(Tickets!$G$2:$G$161=$A$3),ROWS($A$4:A45))),"")</f>
        <v>WPT-052 - Create delete confirmation UI</v>
      </c>
      <c r="B45" s="2"/>
      <c r="C45" s="16" t="str">
        <f>IFERROR(INDEX(Tickets!$A$2:$A$161,_xlfn.AGGREGATE(15,6,(ROW(Tickets!$G$2:$G$161)-ROW(Tickets!$G$2)+1)/(Tickets!$G$2:$G$161=$C$3),ROWS($C$4:C45)))&amp;" - "&amp;INDEX(Tickets!$E$2:$E$161,_xlfn.AGGREGATE(15,6,(ROW(Tickets!$G$2:$G$161)-ROW(Tickets!$G$2)+1)/(Tickets!$G$2:$G$161=$C$3),ROWS($C$4:C45))),"")</f>
        <v/>
      </c>
      <c r="D45" s="2"/>
      <c r="E45" s="16" t="str">
        <f>IFERROR(INDEX(Tickets!$A$2:$A$161,_xlfn.AGGREGATE(15,6,(ROW(Tickets!$G$2:$G$161)-ROW(Tickets!$G$2)+1)/(Tickets!$G$2:$G$161=$E$3),ROWS($E$4:E45)))&amp;" - "&amp;INDEX(Tickets!$E$2:$E$161,_xlfn.AGGREGATE(15,6,(ROW(Tickets!$G$2:$G$161)-ROW(Tickets!$G$2)+1)/(Tickets!$G$2:$G$161=$E$3),ROWS($E$4:E45))),"")</f>
        <v/>
      </c>
      <c r="F45" s="2"/>
      <c r="G45" s="16" t="str">
        <f>IFERROR(INDEX(Tickets!$A$2:$A$161,_xlfn.AGGREGATE(15,6,(ROW(Tickets!$G$2:$G$161)-ROW(Tickets!$G$2)+1)/(Tickets!$G$2:$G$161=$G$3),ROWS($G$4:G45)))&amp;" - "&amp;INDEX(Tickets!$E$2:$E$161,_xlfn.AGGREGATE(15,6,(ROW(Tickets!$G$2:$G$161)-ROW(Tickets!$G$2)+1)/(Tickets!$G$2:$G$161=$G$3),ROWS($G$4:G45))),"")</f>
        <v/>
      </c>
      <c r="H45" s="2"/>
      <c r="I45" s="16" t="str">
        <f>IFERROR(INDEX(Tickets!$A$2:$A$161,_xlfn.AGGREGATE(15,6,(ROW(Tickets!$G$2:$G$161)-ROW(Tickets!$G$2)+1)/(Tickets!$G$2:$G$161=$I$3),ROWS($I$4:I45)))&amp;" - "&amp;INDEX(Tickets!$E$2:$E$161,_xlfn.AGGREGATE(15,6,(ROW(Tickets!$G$2:$G$161)-ROW(Tickets!$G$2)+1)/(Tickets!$G$2:$G$161=$I$3),ROWS($I$4:I45))),"")</f>
        <v/>
      </c>
      <c r="J45" s="2"/>
    </row>
    <row r="46" spans="1:10" ht="36" customHeight="1" x14ac:dyDescent="0.2">
      <c r="A46" s="16" t="str">
        <f>IFERROR(INDEX(Tickets!$A$2:$A$161,_xlfn.AGGREGATE(15,6,(ROW(Tickets!$G$2:$G$161)-ROW(Tickets!$G$2)+1)/(Tickets!$G$2:$G$161=$A$3),ROWS($A$4:A46)))&amp;" - "&amp;INDEX(Tickets!$E$2:$E$161,_xlfn.AGGREGATE(15,6,(ROW(Tickets!$G$2:$G$161)-ROW(Tickets!$G$2)+1)/(Tickets!$G$2:$G$161=$A$3),ROWS($A$4:A46))),"")</f>
        <v>WPT-053 - Create delete job API</v>
      </c>
      <c r="B46" s="2"/>
      <c r="C46" s="16" t="str">
        <f>IFERROR(INDEX(Tickets!$A$2:$A$161,_xlfn.AGGREGATE(15,6,(ROW(Tickets!$G$2:$G$161)-ROW(Tickets!$G$2)+1)/(Tickets!$G$2:$G$161=$C$3),ROWS($C$4:C46)))&amp;" - "&amp;INDEX(Tickets!$E$2:$E$161,_xlfn.AGGREGATE(15,6,(ROW(Tickets!$G$2:$G$161)-ROW(Tickets!$G$2)+1)/(Tickets!$G$2:$G$161=$C$3),ROWS($C$4:C46))),"")</f>
        <v/>
      </c>
      <c r="D46" s="2"/>
      <c r="E46" s="16" t="str">
        <f>IFERROR(INDEX(Tickets!$A$2:$A$161,_xlfn.AGGREGATE(15,6,(ROW(Tickets!$G$2:$G$161)-ROW(Tickets!$G$2)+1)/(Tickets!$G$2:$G$161=$E$3),ROWS($E$4:E46)))&amp;" - "&amp;INDEX(Tickets!$E$2:$E$161,_xlfn.AGGREGATE(15,6,(ROW(Tickets!$G$2:$G$161)-ROW(Tickets!$G$2)+1)/(Tickets!$G$2:$G$161=$E$3),ROWS($E$4:E46))),"")</f>
        <v/>
      </c>
      <c r="F46" s="2"/>
      <c r="G46" s="16" t="str">
        <f>IFERROR(INDEX(Tickets!$A$2:$A$161,_xlfn.AGGREGATE(15,6,(ROW(Tickets!$G$2:$G$161)-ROW(Tickets!$G$2)+1)/(Tickets!$G$2:$G$161=$G$3),ROWS($G$4:G46)))&amp;" - "&amp;INDEX(Tickets!$E$2:$E$161,_xlfn.AGGREGATE(15,6,(ROW(Tickets!$G$2:$G$161)-ROW(Tickets!$G$2)+1)/(Tickets!$G$2:$G$161=$G$3),ROWS($G$4:G46))),"")</f>
        <v/>
      </c>
      <c r="H46" s="2"/>
      <c r="I46" s="16" t="str">
        <f>IFERROR(INDEX(Tickets!$A$2:$A$161,_xlfn.AGGREGATE(15,6,(ROW(Tickets!$G$2:$G$161)-ROW(Tickets!$G$2)+1)/(Tickets!$G$2:$G$161=$I$3),ROWS($I$4:I46)))&amp;" - "&amp;INDEX(Tickets!$E$2:$E$161,_xlfn.AGGREGATE(15,6,(ROW(Tickets!$G$2:$G$161)-ROW(Tickets!$G$2)+1)/(Tickets!$G$2:$G$161=$I$3),ROWS($I$4:I46))),"")</f>
        <v/>
      </c>
      <c r="J46" s="2"/>
    </row>
    <row r="47" spans="1:10" ht="36" customHeight="1" x14ac:dyDescent="0.2">
      <c r="A47" s="16" t="str">
        <f>IFERROR(INDEX(Tickets!$A$2:$A$161,_xlfn.AGGREGATE(15,6,(ROW(Tickets!$G$2:$G$161)-ROW(Tickets!$G$2)+1)/(Tickets!$G$2:$G$161=$A$3),ROWS($A$4:A47)))&amp;" - "&amp;INDEX(Tickets!$E$2:$E$161,_xlfn.AGGREGATE(15,6,(ROW(Tickets!$G$2:$G$161)-ROW(Tickets!$G$2)+1)/(Tickets!$G$2:$G$161=$A$3),ROWS($A$4:A47))),"")</f>
        <v>WPT-054 - View Employees for a job</v>
      </c>
      <c r="B47" s="2"/>
      <c r="C47" s="16" t="str">
        <f>IFERROR(INDEX(Tickets!$A$2:$A$161,_xlfn.AGGREGATE(15,6,(ROW(Tickets!$G$2:$G$161)-ROW(Tickets!$G$2)+1)/(Tickets!$G$2:$G$161=$C$3),ROWS($C$4:C47)))&amp;" - "&amp;INDEX(Tickets!$E$2:$E$161,_xlfn.AGGREGATE(15,6,(ROW(Tickets!$G$2:$G$161)-ROW(Tickets!$G$2)+1)/(Tickets!$G$2:$G$161=$C$3),ROWS($C$4:C47))),"")</f>
        <v/>
      </c>
      <c r="D47" s="2"/>
      <c r="E47" s="16" t="str">
        <f>IFERROR(INDEX(Tickets!$A$2:$A$161,_xlfn.AGGREGATE(15,6,(ROW(Tickets!$G$2:$G$161)-ROW(Tickets!$G$2)+1)/(Tickets!$G$2:$G$161=$E$3),ROWS($E$4:E47)))&amp;" - "&amp;INDEX(Tickets!$E$2:$E$161,_xlfn.AGGREGATE(15,6,(ROW(Tickets!$G$2:$G$161)-ROW(Tickets!$G$2)+1)/(Tickets!$G$2:$G$161=$E$3),ROWS($E$4:E47))),"")</f>
        <v/>
      </c>
      <c r="F47" s="2"/>
      <c r="G47" s="16" t="str">
        <f>IFERROR(INDEX(Tickets!$A$2:$A$161,_xlfn.AGGREGATE(15,6,(ROW(Tickets!$G$2:$G$161)-ROW(Tickets!$G$2)+1)/(Tickets!$G$2:$G$161=$G$3),ROWS($G$4:G47)))&amp;" - "&amp;INDEX(Tickets!$E$2:$E$161,_xlfn.AGGREGATE(15,6,(ROW(Tickets!$G$2:$G$161)-ROW(Tickets!$G$2)+1)/(Tickets!$G$2:$G$161=$G$3),ROWS($G$4:G47))),"")</f>
        <v/>
      </c>
      <c r="H47" s="2"/>
      <c r="I47" s="16" t="str">
        <f>IFERROR(INDEX(Tickets!$A$2:$A$161,_xlfn.AGGREGATE(15,6,(ROW(Tickets!$G$2:$G$161)-ROW(Tickets!$G$2)+1)/(Tickets!$G$2:$G$161=$I$3),ROWS($I$4:I47)))&amp;" - "&amp;INDEX(Tickets!$E$2:$E$161,_xlfn.AGGREGATE(15,6,(ROW(Tickets!$G$2:$G$161)-ROW(Tickets!$G$2)+1)/(Tickets!$G$2:$G$161=$I$3),ROWS($I$4:I47))),"")</f>
        <v/>
      </c>
      <c r="J47" s="2"/>
    </row>
    <row r="48" spans="1:10" ht="36" customHeight="1" x14ac:dyDescent="0.2">
      <c r="A48" s="16" t="str">
        <f>IFERROR(INDEX(Tickets!$A$2:$A$161,_xlfn.AGGREGATE(15,6,(ROW(Tickets!$G$2:$G$161)-ROW(Tickets!$G$2)+1)/(Tickets!$G$2:$G$161=$A$3),ROWS($A$4:A48)))&amp;" - "&amp;INDEX(Tickets!$E$2:$E$161,_xlfn.AGGREGATE(15,6,(ROW(Tickets!$G$2:$G$161)-ROW(Tickets!$G$2)+1)/(Tickets!$G$2:$G$161=$A$3),ROWS($A$4:A48))),"")</f>
        <v>WPT-055 - Create Employee applications list</v>
      </c>
      <c r="B48" s="2"/>
      <c r="C48" s="16" t="str">
        <f>IFERROR(INDEX(Tickets!$A$2:$A$161,_xlfn.AGGREGATE(15,6,(ROW(Tickets!$G$2:$G$161)-ROW(Tickets!$G$2)+1)/(Tickets!$G$2:$G$161=$C$3),ROWS($C$4:C48)))&amp;" - "&amp;INDEX(Tickets!$E$2:$E$161,_xlfn.AGGREGATE(15,6,(ROW(Tickets!$G$2:$G$161)-ROW(Tickets!$G$2)+1)/(Tickets!$G$2:$G$161=$C$3),ROWS($C$4:C48))),"")</f>
        <v/>
      </c>
      <c r="D48" s="2"/>
      <c r="E48" s="16" t="str">
        <f>IFERROR(INDEX(Tickets!$A$2:$A$161,_xlfn.AGGREGATE(15,6,(ROW(Tickets!$G$2:$G$161)-ROW(Tickets!$G$2)+1)/(Tickets!$G$2:$G$161=$E$3),ROWS($E$4:E48)))&amp;" - "&amp;INDEX(Tickets!$E$2:$E$161,_xlfn.AGGREGATE(15,6,(ROW(Tickets!$G$2:$G$161)-ROW(Tickets!$G$2)+1)/(Tickets!$G$2:$G$161=$E$3),ROWS($E$4:E48))),"")</f>
        <v/>
      </c>
      <c r="F48" s="2"/>
      <c r="G48" s="16" t="str">
        <f>IFERROR(INDEX(Tickets!$A$2:$A$161,_xlfn.AGGREGATE(15,6,(ROW(Tickets!$G$2:$G$161)-ROW(Tickets!$G$2)+1)/(Tickets!$G$2:$G$161=$G$3),ROWS($G$4:G48)))&amp;" - "&amp;INDEX(Tickets!$E$2:$E$161,_xlfn.AGGREGATE(15,6,(ROW(Tickets!$G$2:$G$161)-ROW(Tickets!$G$2)+1)/(Tickets!$G$2:$G$161=$G$3),ROWS($G$4:G48))),"")</f>
        <v/>
      </c>
      <c r="H48" s="2"/>
      <c r="I48" s="16" t="str">
        <f>IFERROR(INDEX(Tickets!$A$2:$A$161,_xlfn.AGGREGATE(15,6,(ROW(Tickets!$G$2:$G$161)-ROW(Tickets!$G$2)+1)/(Tickets!$G$2:$G$161=$I$3),ROWS($I$4:I48)))&amp;" - "&amp;INDEX(Tickets!$E$2:$E$161,_xlfn.AGGREGATE(15,6,(ROW(Tickets!$G$2:$G$161)-ROW(Tickets!$G$2)+1)/(Tickets!$G$2:$G$161=$I$3),ROWS($I$4:I48))),"")</f>
        <v/>
      </c>
      <c r="J48" s="2"/>
    </row>
    <row r="49" spans="1:10" ht="36" customHeight="1" x14ac:dyDescent="0.2">
      <c r="A49" s="16" t="str">
        <f>IFERROR(INDEX(Tickets!$A$2:$A$161,_xlfn.AGGREGATE(15,6,(ROW(Tickets!$G$2:$G$161)-ROW(Tickets!$G$2)+1)/(Tickets!$G$2:$G$161=$A$3),ROWS($A$4:A49)))&amp;" - "&amp;INDEX(Tickets!$E$2:$E$161,_xlfn.AGGREGATE(15,6,(ROW(Tickets!$G$2:$G$161)-ROW(Tickets!$G$2)+1)/(Tickets!$G$2:$G$161=$A$3),ROWS($A$4:A49))),"")</f>
        <v>WPT-056 - Display application status</v>
      </c>
      <c r="B49" s="2"/>
      <c r="C49" s="16" t="str">
        <f>IFERROR(INDEX(Tickets!$A$2:$A$161,_xlfn.AGGREGATE(15,6,(ROW(Tickets!$G$2:$G$161)-ROW(Tickets!$G$2)+1)/(Tickets!$G$2:$G$161=$C$3),ROWS($C$4:C49)))&amp;" - "&amp;INDEX(Tickets!$E$2:$E$161,_xlfn.AGGREGATE(15,6,(ROW(Tickets!$G$2:$G$161)-ROW(Tickets!$G$2)+1)/(Tickets!$G$2:$G$161=$C$3),ROWS($C$4:C49))),"")</f>
        <v/>
      </c>
      <c r="D49" s="2"/>
      <c r="E49" s="16" t="str">
        <f>IFERROR(INDEX(Tickets!$A$2:$A$161,_xlfn.AGGREGATE(15,6,(ROW(Tickets!$G$2:$G$161)-ROW(Tickets!$G$2)+1)/(Tickets!$G$2:$G$161=$E$3),ROWS($E$4:E49)))&amp;" - "&amp;INDEX(Tickets!$E$2:$E$161,_xlfn.AGGREGATE(15,6,(ROW(Tickets!$G$2:$G$161)-ROW(Tickets!$G$2)+1)/(Tickets!$G$2:$G$161=$E$3),ROWS($E$4:E49))),"")</f>
        <v/>
      </c>
      <c r="F49" s="2"/>
      <c r="G49" s="16" t="str">
        <f>IFERROR(INDEX(Tickets!$A$2:$A$161,_xlfn.AGGREGATE(15,6,(ROW(Tickets!$G$2:$G$161)-ROW(Tickets!$G$2)+1)/(Tickets!$G$2:$G$161=$G$3),ROWS($G$4:G49)))&amp;" - "&amp;INDEX(Tickets!$E$2:$E$161,_xlfn.AGGREGATE(15,6,(ROW(Tickets!$G$2:$G$161)-ROW(Tickets!$G$2)+1)/(Tickets!$G$2:$G$161=$G$3),ROWS($G$4:G49))),"")</f>
        <v/>
      </c>
      <c r="H49" s="2"/>
      <c r="I49" s="16" t="str">
        <f>IFERROR(INDEX(Tickets!$A$2:$A$161,_xlfn.AGGREGATE(15,6,(ROW(Tickets!$G$2:$G$161)-ROW(Tickets!$G$2)+1)/(Tickets!$G$2:$G$161=$I$3),ROWS($I$4:I49)))&amp;" - "&amp;INDEX(Tickets!$E$2:$E$161,_xlfn.AGGREGATE(15,6,(ROW(Tickets!$G$2:$G$161)-ROW(Tickets!$G$2)+1)/(Tickets!$G$2:$G$161=$I$3),ROWS($I$4:I49))),"")</f>
        <v/>
      </c>
      <c r="J49" s="2"/>
    </row>
    <row r="50" spans="1:10" ht="36" customHeight="1" x14ac:dyDescent="0.2">
      <c r="A50" s="16" t="str">
        <f>IFERROR(INDEX(Tickets!$A$2:$A$161,_xlfn.AGGREGATE(15,6,(ROW(Tickets!$G$2:$G$161)-ROW(Tickets!$G$2)+1)/(Tickets!$G$2:$G$161=$A$3),ROWS($A$4:A50)))&amp;" - "&amp;INDEX(Tickets!$E$2:$E$161,_xlfn.AGGREGATE(15,6,(ROW(Tickets!$G$2:$G$161)-ROW(Tickets!$G$2)+1)/(Tickets!$G$2:$G$161=$A$3),ROWS($A$4:A50))),"")</f>
        <v>WPT-057 - Create Employee details view</v>
      </c>
      <c r="B50" s="2"/>
      <c r="C50" s="16" t="str">
        <f>IFERROR(INDEX(Tickets!$A$2:$A$161,_xlfn.AGGREGATE(15,6,(ROW(Tickets!$G$2:$G$161)-ROW(Tickets!$G$2)+1)/(Tickets!$G$2:$G$161=$C$3),ROWS($C$4:C50)))&amp;" - "&amp;INDEX(Tickets!$E$2:$E$161,_xlfn.AGGREGATE(15,6,(ROW(Tickets!$G$2:$G$161)-ROW(Tickets!$G$2)+1)/(Tickets!$G$2:$G$161=$C$3),ROWS($C$4:C50))),"")</f>
        <v/>
      </c>
      <c r="D50" s="2"/>
      <c r="E50" s="16" t="str">
        <f>IFERROR(INDEX(Tickets!$A$2:$A$161,_xlfn.AGGREGATE(15,6,(ROW(Tickets!$G$2:$G$161)-ROW(Tickets!$G$2)+1)/(Tickets!$G$2:$G$161=$E$3),ROWS($E$4:E50)))&amp;" - "&amp;INDEX(Tickets!$E$2:$E$161,_xlfn.AGGREGATE(15,6,(ROW(Tickets!$G$2:$G$161)-ROW(Tickets!$G$2)+1)/(Tickets!$G$2:$G$161=$E$3),ROWS($E$4:E50))),"")</f>
        <v/>
      </c>
      <c r="F50" s="2"/>
      <c r="G50" s="16" t="str">
        <f>IFERROR(INDEX(Tickets!$A$2:$A$161,_xlfn.AGGREGATE(15,6,(ROW(Tickets!$G$2:$G$161)-ROW(Tickets!$G$2)+1)/(Tickets!$G$2:$G$161=$G$3),ROWS($G$4:G50)))&amp;" - "&amp;INDEX(Tickets!$E$2:$E$161,_xlfn.AGGREGATE(15,6,(ROW(Tickets!$G$2:$G$161)-ROW(Tickets!$G$2)+1)/(Tickets!$G$2:$G$161=$G$3),ROWS($G$4:G50))),"")</f>
        <v/>
      </c>
      <c r="H50" s="2"/>
      <c r="I50" s="16" t="str">
        <f>IFERROR(INDEX(Tickets!$A$2:$A$161,_xlfn.AGGREGATE(15,6,(ROW(Tickets!$G$2:$G$161)-ROW(Tickets!$G$2)+1)/(Tickets!$G$2:$G$161=$I$3),ROWS($I$4:I50)))&amp;" - "&amp;INDEX(Tickets!$E$2:$E$161,_xlfn.AGGREGATE(15,6,(ROW(Tickets!$G$2:$G$161)-ROW(Tickets!$G$2)+1)/(Tickets!$G$2:$G$161=$I$3),ROWS($I$4:I50))),"")</f>
        <v/>
      </c>
      <c r="J50" s="2"/>
    </row>
    <row r="51" spans="1:10" ht="36" customHeight="1" x14ac:dyDescent="0.2">
      <c r="A51" s="16" t="str">
        <f>IFERROR(INDEX(Tickets!$A$2:$A$161,_xlfn.AGGREGATE(15,6,(ROW(Tickets!$G$2:$G$161)-ROW(Tickets!$G$2)+1)/(Tickets!$G$2:$G$161=$A$3),ROWS($A$4:A51)))&amp;" - "&amp;INDEX(Tickets!$E$2:$E$161,_xlfn.AGGREGATE(15,6,(ROW(Tickets!$G$2:$G$161)-ROW(Tickets!$G$2)+1)/(Tickets!$G$2:$G$161=$A$3),ROWS($A$4:A51))),"")</f>
        <v>WPT-058 - Employer Employee Status Management</v>
      </c>
      <c r="B51" s="2"/>
      <c r="C51" s="16" t="str">
        <f>IFERROR(INDEX(Tickets!$A$2:$A$161,_xlfn.AGGREGATE(15,6,(ROW(Tickets!$G$2:$G$161)-ROW(Tickets!$G$2)+1)/(Tickets!$G$2:$G$161=$C$3),ROWS($C$4:C51)))&amp;" - "&amp;INDEX(Tickets!$E$2:$E$161,_xlfn.AGGREGATE(15,6,(ROW(Tickets!$G$2:$G$161)-ROW(Tickets!$G$2)+1)/(Tickets!$G$2:$G$161=$C$3),ROWS($C$4:C51))),"")</f>
        <v/>
      </c>
      <c r="D51" s="2"/>
      <c r="E51" s="16" t="str">
        <f>IFERROR(INDEX(Tickets!$A$2:$A$161,_xlfn.AGGREGATE(15,6,(ROW(Tickets!$G$2:$G$161)-ROW(Tickets!$G$2)+1)/(Tickets!$G$2:$G$161=$E$3),ROWS($E$4:E51)))&amp;" - "&amp;INDEX(Tickets!$E$2:$E$161,_xlfn.AGGREGATE(15,6,(ROW(Tickets!$G$2:$G$161)-ROW(Tickets!$G$2)+1)/(Tickets!$G$2:$G$161=$E$3),ROWS($E$4:E51))),"")</f>
        <v/>
      </c>
      <c r="F51" s="2"/>
      <c r="G51" s="16" t="str">
        <f>IFERROR(INDEX(Tickets!$A$2:$A$161,_xlfn.AGGREGATE(15,6,(ROW(Tickets!$G$2:$G$161)-ROW(Tickets!$G$2)+1)/(Tickets!$G$2:$G$161=$G$3),ROWS($G$4:G51)))&amp;" - "&amp;INDEX(Tickets!$E$2:$E$161,_xlfn.AGGREGATE(15,6,(ROW(Tickets!$G$2:$G$161)-ROW(Tickets!$G$2)+1)/(Tickets!$G$2:$G$161=$G$3),ROWS($G$4:G51))),"")</f>
        <v/>
      </c>
      <c r="H51" s="2"/>
      <c r="I51" s="16" t="str">
        <f>IFERROR(INDEX(Tickets!$A$2:$A$161,_xlfn.AGGREGATE(15,6,(ROW(Tickets!$G$2:$G$161)-ROW(Tickets!$G$2)+1)/(Tickets!$G$2:$G$161=$I$3),ROWS($I$4:I51)))&amp;" - "&amp;INDEX(Tickets!$E$2:$E$161,_xlfn.AGGREGATE(15,6,(ROW(Tickets!$G$2:$G$161)-ROW(Tickets!$G$2)+1)/(Tickets!$G$2:$G$161=$I$3),ROWS($I$4:I51))),"")</f>
        <v/>
      </c>
      <c r="J51" s="2"/>
    </row>
    <row r="52" spans="1:10" ht="36" customHeight="1" x14ac:dyDescent="0.2">
      <c r="A52" s="16" t="str">
        <f>IFERROR(INDEX(Tickets!$A$2:$A$161,_xlfn.AGGREGATE(15,6,(ROW(Tickets!$G$2:$G$161)-ROW(Tickets!$G$2)+1)/(Tickets!$G$2:$G$161=$A$3),ROWS($A$4:A52)))&amp;" - "&amp;INDEX(Tickets!$E$2:$E$161,_xlfn.AGGREGATE(15,6,(ROW(Tickets!$G$2:$G$161)-ROW(Tickets!$G$2)+1)/(Tickets!$G$2:$G$161=$A$3),ROWS($A$4:A52))),"")</f>
        <v>WPT-059 - Update Employee application status</v>
      </c>
      <c r="B52" s="2"/>
      <c r="C52" s="16" t="str">
        <f>IFERROR(INDEX(Tickets!$A$2:$A$161,_xlfn.AGGREGATE(15,6,(ROW(Tickets!$G$2:$G$161)-ROW(Tickets!$G$2)+1)/(Tickets!$G$2:$G$161=$C$3),ROWS($C$4:C52)))&amp;" - "&amp;INDEX(Tickets!$E$2:$E$161,_xlfn.AGGREGATE(15,6,(ROW(Tickets!$G$2:$G$161)-ROW(Tickets!$G$2)+1)/(Tickets!$G$2:$G$161=$C$3),ROWS($C$4:C52))),"")</f>
        <v/>
      </c>
      <c r="D52" s="2"/>
      <c r="E52" s="16" t="str">
        <f>IFERROR(INDEX(Tickets!$A$2:$A$161,_xlfn.AGGREGATE(15,6,(ROW(Tickets!$G$2:$G$161)-ROW(Tickets!$G$2)+1)/(Tickets!$G$2:$G$161=$E$3),ROWS($E$4:E52)))&amp;" - "&amp;INDEX(Tickets!$E$2:$E$161,_xlfn.AGGREGATE(15,6,(ROW(Tickets!$G$2:$G$161)-ROW(Tickets!$G$2)+1)/(Tickets!$G$2:$G$161=$E$3),ROWS($E$4:E52))),"")</f>
        <v/>
      </c>
      <c r="F52" s="2"/>
      <c r="G52" s="16" t="str">
        <f>IFERROR(INDEX(Tickets!$A$2:$A$161,_xlfn.AGGREGATE(15,6,(ROW(Tickets!$G$2:$G$161)-ROW(Tickets!$G$2)+1)/(Tickets!$G$2:$G$161=$G$3),ROWS($G$4:G52)))&amp;" - "&amp;INDEX(Tickets!$E$2:$E$161,_xlfn.AGGREGATE(15,6,(ROW(Tickets!$G$2:$G$161)-ROW(Tickets!$G$2)+1)/(Tickets!$G$2:$G$161=$G$3),ROWS($G$4:G52))),"")</f>
        <v/>
      </c>
      <c r="H52" s="2"/>
      <c r="I52" s="16" t="str">
        <f>IFERROR(INDEX(Tickets!$A$2:$A$161,_xlfn.AGGREGATE(15,6,(ROW(Tickets!$G$2:$G$161)-ROW(Tickets!$G$2)+1)/(Tickets!$G$2:$G$161=$I$3),ROWS($I$4:I52)))&amp;" - "&amp;INDEX(Tickets!$E$2:$E$161,_xlfn.AGGREGATE(15,6,(ROW(Tickets!$G$2:$G$161)-ROW(Tickets!$G$2)+1)/(Tickets!$G$2:$G$161=$I$3),ROWS($I$4:I52))),"")</f>
        <v/>
      </c>
      <c r="J52" s="2"/>
    </row>
    <row r="53" spans="1:10" ht="36" customHeight="1" x14ac:dyDescent="0.2">
      <c r="A53" s="16" t="str">
        <f>IFERROR(INDEX(Tickets!$A$2:$A$161,_xlfn.AGGREGATE(15,6,(ROW(Tickets!$G$2:$G$161)-ROW(Tickets!$G$2)+1)/(Tickets!$G$2:$G$161=$A$3),ROWS($A$4:A53)))&amp;" - "&amp;INDEX(Tickets!$E$2:$E$161,_xlfn.AGGREGATE(15,6,(ROW(Tickets!$G$2:$G$161)-ROW(Tickets!$G$2)+1)/(Tickets!$G$2:$G$161=$A$3),ROWS($A$4:A53))),"")</f>
        <v>WPT-060 - Create status dropdown for application</v>
      </c>
      <c r="B53" s="2"/>
      <c r="C53" s="16" t="str">
        <f>IFERROR(INDEX(Tickets!$A$2:$A$161,_xlfn.AGGREGATE(15,6,(ROW(Tickets!$G$2:$G$161)-ROW(Tickets!$G$2)+1)/(Tickets!$G$2:$G$161=$C$3),ROWS($C$4:C53)))&amp;" - "&amp;INDEX(Tickets!$E$2:$E$161,_xlfn.AGGREGATE(15,6,(ROW(Tickets!$G$2:$G$161)-ROW(Tickets!$G$2)+1)/(Tickets!$G$2:$G$161=$C$3),ROWS($C$4:C53))),"")</f>
        <v/>
      </c>
      <c r="D53" s="2"/>
      <c r="E53" s="16" t="str">
        <f>IFERROR(INDEX(Tickets!$A$2:$A$161,_xlfn.AGGREGATE(15,6,(ROW(Tickets!$G$2:$G$161)-ROW(Tickets!$G$2)+1)/(Tickets!$G$2:$G$161=$E$3),ROWS($E$4:E53)))&amp;" - "&amp;INDEX(Tickets!$E$2:$E$161,_xlfn.AGGREGATE(15,6,(ROW(Tickets!$G$2:$G$161)-ROW(Tickets!$G$2)+1)/(Tickets!$G$2:$G$161=$E$3),ROWS($E$4:E53))),"")</f>
        <v/>
      </c>
      <c r="F53" s="2"/>
      <c r="G53" s="16" t="str">
        <f>IFERROR(INDEX(Tickets!$A$2:$A$161,_xlfn.AGGREGATE(15,6,(ROW(Tickets!$G$2:$G$161)-ROW(Tickets!$G$2)+1)/(Tickets!$G$2:$G$161=$G$3),ROWS($G$4:G53)))&amp;" - "&amp;INDEX(Tickets!$E$2:$E$161,_xlfn.AGGREGATE(15,6,(ROW(Tickets!$G$2:$G$161)-ROW(Tickets!$G$2)+1)/(Tickets!$G$2:$G$161=$G$3),ROWS($G$4:G53))),"")</f>
        <v/>
      </c>
      <c r="H53" s="2"/>
      <c r="I53" s="16" t="str">
        <f>IFERROR(INDEX(Tickets!$A$2:$A$161,_xlfn.AGGREGATE(15,6,(ROW(Tickets!$G$2:$G$161)-ROW(Tickets!$G$2)+1)/(Tickets!$G$2:$G$161=$I$3),ROWS($I$4:I53)))&amp;" - "&amp;INDEX(Tickets!$E$2:$E$161,_xlfn.AGGREGATE(15,6,(ROW(Tickets!$G$2:$G$161)-ROW(Tickets!$G$2)+1)/(Tickets!$G$2:$G$161=$I$3),ROWS($I$4:I53))),"")</f>
        <v/>
      </c>
      <c r="J53" s="2"/>
    </row>
    <row r="54" spans="1:10" ht="36" customHeight="1" x14ac:dyDescent="0.2">
      <c r="A54" s="16" t="str">
        <f>IFERROR(INDEX(Tickets!$A$2:$A$161,_xlfn.AGGREGATE(15,6,(ROW(Tickets!$G$2:$G$161)-ROW(Tickets!$G$2)+1)/(Tickets!$G$2:$G$161=$A$3),ROWS($A$4:A54)))&amp;" - "&amp;INDEX(Tickets!$E$2:$E$161,_xlfn.AGGREGATE(15,6,(ROW(Tickets!$G$2:$G$161)-ROW(Tickets!$G$2)+1)/(Tickets!$G$2:$G$161=$A$3),ROWS($A$4:A54))),"")</f>
        <v>WPT-061 - Create update application status API</v>
      </c>
      <c r="B54" s="2"/>
      <c r="C54" s="16" t="str">
        <f>IFERROR(INDEX(Tickets!$A$2:$A$161,_xlfn.AGGREGATE(15,6,(ROW(Tickets!$G$2:$G$161)-ROW(Tickets!$G$2)+1)/(Tickets!$G$2:$G$161=$C$3),ROWS($C$4:C54)))&amp;" - "&amp;INDEX(Tickets!$E$2:$E$161,_xlfn.AGGREGATE(15,6,(ROW(Tickets!$G$2:$G$161)-ROW(Tickets!$G$2)+1)/(Tickets!$G$2:$G$161=$C$3),ROWS($C$4:C54))),"")</f>
        <v/>
      </c>
      <c r="D54" s="2"/>
      <c r="E54" s="16" t="str">
        <f>IFERROR(INDEX(Tickets!$A$2:$A$161,_xlfn.AGGREGATE(15,6,(ROW(Tickets!$G$2:$G$161)-ROW(Tickets!$G$2)+1)/(Tickets!$G$2:$G$161=$E$3),ROWS($E$4:E54)))&amp;" - "&amp;INDEX(Tickets!$E$2:$E$161,_xlfn.AGGREGATE(15,6,(ROW(Tickets!$G$2:$G$161)-ROW(Tickets!$G$2)+1)/(Tickets!$G$2:$G$161=$E$3),ROWS($E$4:E54))),"")</f>
        <v/>
      </c>
      <c r="F54" s="2"/>
      <c r="G54" s="16" t="str">
        <f>IFERROR(INDEX(Tickets!$A$2:$A$161,_xlfn.AGGREGATE(15,6,(ROW(Tickets!$G$2:$G$161)-ROW(Tickets!$G$2)+1)/(Tickets!$G$2:$G$161=$G$3),ROWS($G$4:G54)))&amp;" - "&amp;INDEX(Tickets!$E$2:$E$161,_xlfn.AGGREGATE(15,6,(ROW(Tickets!$G$2:$G$161)-ROW(Tickets!$G$2)+1)/(Tickets!$G$2:$G$161=$G$3),ROWS($G$4:G54))),"")</f>
        <v/>
      </c>
      <c r="H54" s="2"/>
      <c r="I54" s="16" t="str">
        <f>IFERROR(INDEX(Tickets!$A$2:$A$161,_xlfn.AGGREGATE(15,6,(ROW(Tickets!$G$2:$G$161)-ROW(Tickets!$G$2)+1)/(Tickets!$G$2:$G$161=$I$3),ROWS($I$4:I54)))&amp;" - "&amp;INDEX(Tickets!$E$2:$E$161,_xlfn.AGGREGATE(15,6,(ROW(Tickets!$G$2:$G$161)-ROW(Tickets!$G$2)+1)/(Tickets!$G$2:$G$161=$I$3),ROWS($I$4:I54))),"")</f>
        <v/>
      </c>
      <c r="J54" s="2"/>
    </row>
    <row r="55" spans="1:10" ht="36" customHeight="1" x14ac:dyDescent="0.2">
      <c r="A55" s="16" t="str">
        <f>IFERROR(INDEX(Tickets!$A$2:$A$161,_xlfn.AGGREGATE(15,6,(ROW(Tickets!$G$2:$G$161)-ROW(Tickets!$G$2)+1)/(Tickets!$G$2:$G$161=$A$3),ROWS($A$4:A55)))&amp;" - "&amp;INDEX(Tickets!$E$2:$E$161,_xlfn.AGGREGATE(15,6,(ROW(Tickets!$G$2:$G$161)-ROW(Tickets!$G$2)+1)/(Tickets!$G$2:$G$161=$A$3),ROWS($A$4:A55))),"")</f>
        <v>WPT-062 - Show status history or latest status</v>
      </c>
      <c r="B55" s="2"/>
      <c r="C55" s="16" t="str">
        <f>IFERROR(INDEX(Tickets!$A$2:$A$161,_xlfn.AGGREGATE(15,6,(ROW(Tickets!$G$2:$G$161)-ROW(Tickets!$G$2)+1)/(Tickets!$G$2:$G$161=$C$3),ROWS($C$4:C55)))&amp;" - "&amp;INDEX(Tickets!$E$2:$E$161,_xlfn.AGGREGATE(15,6,(ROW(Tickets!$G$2:$G$161)-ROW(Tickets!$G$2)+1)/(Tickets!$G$2:$G$161=$C$3),ROWS($C$4:C55))),"")</f>
        <v/>
      </c>
      <c r="D55" s="2"/>
      <c r="E55" s="16" t="str">
        <f>IFERROR(INDEX(Tickets!$A$2:$A$161,_xlfn.AGGREGATE(15,6,(ROW(Tickets!$G$2:$G$161)-ROW(Tickets!$G$2)+1)/(Tickets!$G$2:$G$161=$E$3),ROWS($E$4:E55)))&amp;" - "&amp;INDEX(Tickets!$E$2:$E$161,_xlfn.AGGREGATE(15,6,(ROW(Tickets!$G$2:$G$161)-ROW(Tickets!$G$2)+1)/(Tickets!$G$2:$G$161=$E$3),ROWS($E$4:E55))),"")</f>
        <v/>
      </c>
      <c r="F55" s="2"/>
      <c r="G55" s="16" t="str">
        <f>IFERROR(INDEX(Tickets!$A$2:$A$161,_xlfn.AGGREGATE(15,6,(ROW(Tickets!$G$2:$G$161)-ROW(Tickets!$G$2)+1)/(Tickets!$G$2:$G$161=$G$3),ROWS($G$4:G55)))&amp;" - "&amp;INDEX(Tickets!$E$2:$E$161,_xlfn.AGGREGATE(15,6,(ROW(Tickets!$G$2:$G$161)-ROW(Tickets!$G$2)+1)/(Tickets!$G$2:$G$161=$G$3),ROWS($G$4:G55))),"")</f>
        <v/>
      </c>
      <c r="H55" s="2"/>
      <c r="I55" s="16" t="str">
        <f>IFERROR(INDEX(Tickets!$A$2:$A$161,_xlfn.AGGREGATE(15,6,(ROW(Tickets!$G$2:$G$161)-ROW(Tickets!$G$2)+1)/(Tickets!$G$2:$G$161=$I$3),ROWS($I$4:I55)))&amp;" - "&amp;INDEX(Tickets!$E$2:$E$161,_xlfn.AGGREGATE(15,6,(ROW(Tickets!$G$2:$G$161)-ROW(Tickets!$G$2)+1)/(Tickets!$G$2:$G$161=$I$3),ROWS($I$4:I55))),"")</f>
        <v/>
      </c>
      <c r="J55" s="2"/>
    </row>
    <row r="56" spans="1:10" ht="36" customHeight="1" x14ac:dyDescent="0.2">
      <c r="A56" s="16" t="str">
        <f>IFERROR(INDEX(Tickets!$A$2:$A$161,_xlfn.AGGREGATE(15,6,(ROW(Tickets!$G$2:$G$161)-ROW(Tickets!$G$2)+1)/(Tickets!$G$2:$G$161=$A$3),ROWS($A$4:A56)))&amp;" - "&amp;INDEX(Tickets!$E$2:$E$161,_xlfn.AGGREGATE(15,6,(ROW(Tickets!$G$2:$G$161)-ROW(Tickets!$G$2)+1)/(Tickets!$G$2:$G$161=$A$3),ROWS($A$4:A56))),"")</f>
        <v>WPT-063 - Employer Event Dashboard and Events</v>
      </c>
      <c r="B56" s="2"/>
      <c r="C56" s="16" t="str">
        <f>IFERROR(INDEX(Tickets!$A$2:$A$161,_xlfn.AGGREGATE(15,6,(ROW(Tickets!$G$2:$G$161)-ROW(Tickets!$G$2)+1)/(Tickets!$G$2:$G$161=$C$3),ROWS($C$4:C56)))&amp;" - "&amp;INDEX(Tickets!$E$2:$E$161,_xlfn.AGGREGATE(15,6,(ROW(Tickets!$G$2:$G$161)-ROW(Tickets!$G$2)+1)/(Tickets!$G$2:$G$161=$C$3),ROWS($C$4:C56))),"")</f>
        <v/>
      </c>
      <c r="D56" s="2"/>
      <c r="E56" s="16" t="str">
        <f>IFERROR(INDEX(Tickets!$A$2:$A$161,_xlfn.AGGREGATE(15,6,(ROW(Tickets!$G$2:$G$161)-ROW(Tickets!$G$2)+1)/(Tickets!$G$2:$G$161=$E$3),ROWS($E$4:E56)))&amp;" - "&amp;INDEX(Tickets!$E$2:$E$161,_xlfn.AGGREGATE(15,6,(ROW(Tickets!$G$2:$G$161)-ROW(Tickets!$G$2)+1)/(Tickets!$G$2:$G$161=$E$3),ROWS($E$4:E56))),"")</f>
        <v/>
      </c>
      <c r="F56" s="2"/>
      <c r="G56" s="16" t="str">
        <f>IFERROR(INDEX(Tickets!$A$2:$A$161,_xlfn.AGGREGATE(15,6,(ROW(Tickets!$G$2:$G$161)-ROW(Tickets!$G$2)+1)/(Tickets!$G$2:$G$161=$G$3),ROWS($G$4:G56)))&amp;" - "&amp;INDEX(Tickets!$E$2:$E$161,_xlfn.AGGREGATE(15,6,(ROW(Tickets!$G$2:$G$161)-ROW(Tickets!$G$2)+1)/(Tickets!$G$2:$G$161=$G$3),ROWS($G$4:G56))),"")</f>
        <v/>
      </c>
      <c r="H56" s="2"/>
      <c r="I56" s="16" t="str">
        <f>IFERROR(INDEX(Tickets!$A$2:$A$161,_xlfn.AGGREGATE(15,6,(ROW(Tickets!$G$2:$G$161)-ROW(Tickets!$G$2)+1)/(Tickets!$G$2:$G$161=$I$3),ROWS($I$4:I56)))&amp;" - "&amp;INDEX(Tickets!$E$2:$E$161,_xlfn.AGGREGATE(15,6,(ROW(Tickets!$G$2:$G$161)-ROW(Tickets!$G$2)+1)/(Tickets!$G$2:$G$161=$I$3),ROWS($I$4:I56))),"")</f>
        <v/>
      </c>
      <c r="J56" s="2"/>
    </row>
    <row r="57" spans="1:10" ht="36" customHeight="1" x14ac:dyDescent="0.2">
      <c r="A57" s="16" t="str">
        <f>IFERROR(INDEX(Tickets!$A$2:$A$161,_xlfn.AGGREGATE(15,6,(ROW(Tickets!$G$2:$G$161)-ROW(Tickets!$G$2)+1)/(Tickets!$G$2:$G$161=$A$3),ROWS($A$4:A57)))&amp;" - "&amp;INDEX(Tickets!$E$2:$E$161,_xlfn.AGGREGATE(15,6,(ROW(Tickets!$G$2:$G$161)-ROW(Tickets!$G$2)+1)/(Tickets!$G$2:$G$161=$A$3),ROWS($A$4:A57))),"")</f>
        <v>WPT-064 - View employer event dashboard</v>
      </c>
      <c r="B57" s="2"/>
      <c r="C57" s="16" t="str">
        <f>IFERROR(INDEX(Tickets!$A$2:$A$161,_xlfn.AGGREGATE(15,6,(ROW(Tickets!$G$2:$G$161)-ROW(Tickets!$G$2)+1)/(Tickets!$G$2:$G$161=$C$3),ROWS($C$4:C57)))&amp;" - "&amp;INDEX(Tickets!$E$2:$E$161,_xlfn.AGGREGATE(15,6,(ROW(Tickets!$G$2:$G$161)-ROW(Tickets!$G$2)+1)/(Tickets!$G$2:$G$161=$C$3),ROWS($C$4:C57))),"")</f>
        <v/>
      </c>
      <c r="D57" s="2"/>
      <c r="E57" s="16" t="str">
        <f>IFERROR(INDEX(Tickets!$A$2:$A$161,_xlfn.AGGREGATE(15,6,(ROW(Tickets!$G$2:$G$161)-ROW(Tickets!$G$2)+1)/(Tickets!$G$2:$G$161=$E$3),ROWS($E$4:E57)))&amp;" - "&amp;INDEX(Tickets!$E$2:$E$161,_xlfn.AGGREGATE(15,6,(ROW(Tickets!$G$2:$G$161)-ROW(Tickets!$G$2)+1)/(Tickets!$G$2:$G$161=$E$3),ROWS($E$4:E57))),"")</f>
        <v/>
      </c>
      <c r="F57" s="2"/>
      <c r="G57" s="16" t="str">
        <f>IFERROR(INDEX(Tickets!$A$2:$A$161,_xlfn.AGGREGATE(15,6,(ROW(Tickets!$G$2:$G$161)-ROW(Tickets!$G$2)+1)/(Tickets!$G$2:$G$161=$G$3),ROWS($G$4:G57)))&amp;" - "&amp;INDEX(Tickets!$E$2:$E$161,_xlfn.AGGREGATE(15,6,(ROW(Tickets!$G$2:$G$161)-ROW(Tickets!$G$2)+1)/(Tickets!$G$2:$G$161=$G$3),ROWS($G$4:G57))),"")</f>
        <v/>
      </c>
      <c r="H57" s="2"/>
      <c r="I57" s="16" t="str">
        <f>IFERROR(INDEX(Tickets!$A$2:$A$161,_xlfn.AGGREGATE(15,6,(ROW(Tickets!$G$2:$G$161)-ROW(Tickets!$G$2)+1)/(Tickets!$G$2:$G$161=$I$3),ROWS($I$4:I57)))&amp;" - "&amp;INDEX(Tickets!$E$2:$E$161,_xlfn.AGGREGATE(15,6,(ROW(Tickets!$G$2:$G$161)-ROW(Tickets!$G$2)+1)/(Tickets!$G$2:$G$161=$I$3),ROWS($I$4:I57))),"")</f>
        <v/>
      </c>
      <c r="J57" s="2"/>
    </row>
    <row r="58" spans="1:10" ht="36" customHeight="1" x14ac:dyDescent="0.2">
      <c r="A58" s="16" t="str">
        <f>IFERROR(INDEX(Tickets!$A$2:$A$161,_xlfn.AGGREGATE(15,6,(ROW(Tickets!$G$2:$G$161)-ROW(Tickets!$G$2)+1)/(Tickets!$G$2:$G$161=$A$3),ROWS($A$4:A58)))&amp;" - "&amp;INDEX(Tickets!$E$2:$E$161,_xlfn.AGGREGATE(15,6,(ROW(Tickets!$G$2:$G$161)-ROW(Tickets!$G$2)+1)/(Tickets!$G$2:$G$161=$A$3),ROWS($A$4:A58))),"")</f>
        <v>WPT-065 - Show total events created</v>
      </c>
      <c r="B58" s="2"/>
      <c r="C58" s="16" t="str">
        <f>IFERROR(INDEX(Tickets!$A$2:$A$161,_xlfn.AGGREGATE(15,6,(ROW(Tickets!$G$2:$G$161)-ROW(Tickets!$G$2)+1)/(Tickets!$G$2:$G$161=$C$3),ROWS($C$4:C58)))&amp;" - "&amp;INDEX(Tickets!$E$2:$E$161,_xlfn.AGGREGATE(15,6,(ROW(Tickets!$G$2:$G$161)-ROW(Tickets!$G$2)+1)/(Tickets!$G$2:$G$161=$C$3),ROWS($C$4:C58))),"")</f>
        <v/>
      </c>
      <c r="D58" s="2"/>
      <c r="E58" s="16" t="str">
        <f>IFERROR(INDEX(Tickets!$A$2:$A$161,_xlfn.AGGREGATE(15,6,(ROW(Tickets!$G$2:$G$161)-ROW(Tickets!$G$2)+1)/(Tickets!$G$2:$G$161=$E$3),ROWS($E$4:E58)))&amp;" - "&amp;INDEX(Tickets!$E$2:$E$161,_xlfn.AGGREGATE(15,6,(ROW(Tickets!$G$2:$G$161)-ROW(Tickets!$G$2)+1)/(Tickets!$G$2:$G$161=$E$3),ROWS($E$4:E58))),"")</f>
        <v/>
      </c>
      <c r="F58" s="2"/>
      <c r="G58" s="16" t="str">
        <f>IFERROR(INDEX(Tickets!$A$2:$A$161,_xlfn.AGGREGATE(15,6,(ROW(Tickets!$G$2:$G$161)-ROW(Tickets!$G$2)+1)/(Tickets!$G$2:$G$161=$G$3),ROWS($G$4:G58)))&amp;" - "&amp;INDEX(Tickets!$E$2:$E$161,_xlfn.AGGREGATE(15,6,(ROW(Tickets!$G$2:$G$161)-ROW(Tickets!$G$2)+1)/(Tickets!$G$2:$G$161=$G$3),ROWS($G$4:G58))),"")</f>
        <v/>
      </c>
      <c r="H58" s="2"/>
      <c r="I58" s="16" t="str">
        <f>IFERROR(INDEX(Tickets!$A$2:$A$161,_xlfn.AGGREGATE(15,6,(ROW(Tickets!$G$2:$G$161)-ROW(Tickets!$G$2)+1)/(Tickets!$G$2:$G$161=$I$3),ROWS($I$4:I58)))&amp;" - "&amp;INDEX(Tickets!$E$2:$E$161,_xlfn.AGGREGATE(15,6,(ROW(Tickets!$G$2:$G$161)-ROW(Tickets!$G$2)+1)/(Tickets!$G$2:$G$161=$I$3),ROWS($I$4:I58))),"")</f>
        <v/>
      </c>
      <c r="J58" s="2"/>
    </row>
    <row r="59" spans="1:10" ht="36" customHeight="1" x14ac:dyDescent="0.2">
      <c r="A59" s="16" t="str">
        <f>IFERROR(INDEX(Tickets!$A$2:$A$161,_xlfn.AGGREGATE(15,6,(ROW(Tickets!$G$2:$G$161)-ROW(Tickets!$G$2)+1)/(Tickets!$G$2:$G$161=$A$3),ROWS($A$4:A59)))&amp;" - "&amp;INDEX(Tickets!$E$2:$E$161,_xlfn.AGGREGATE(15,6,(ROW(Tickets!$G$2:$G$161)-ROW(Tickets!$G$2)+1)/(Tickets!$G$2:$G$161=$A$3),ROWS($A$4:A59))),"")</f>
        <v>WPT-066 - Show upcoming events count</v>
      </c>
      <c r="B59" s="2"/>
      <c r="C59" s="16" t="str">
        <f>IFERROR(INDEX(Tickets!$A$2:$A$161,_xlfn.AGGREGATE(15,6,(ROW(Tickets!$G$2:$G$161)-ROW(Tickets!$G$2)+1)/(Tickets!$G$2:$G$161=$C$3),ROWS($C$4:C59)))&amp;" - "&amp;INDEX(Tickets!$E$2:$E$161,_xlfn.AGGREGATE(15,6,(ROW(Tickets!$G$2:$G$161)-ROW(Tickets!$G$2)+1)/(Tickets!$G$2:$G$161=$C$3),ROWS($C$4:C59))),"")</f>
        <v/>
      </c>
      <c r="D59" s="2"/>
      <c r="E59" s="16" t="str">
        <f>IFERROR(INDEX(Tickets!$A$2:$A$161,_xlfn.AGGREGATE(15,6,(ROW(Tickets!$G$2:$G$161)-ROW(Tickets!$G$2)+1)/(Tickets!$G$2:$G$161=$E$3),ROWS($E$4:E59)))&amp;" - "&amp;INDEX(Tickets!$E$2:$E$161,_xlfn.AGGREGATE(15,6,(ROW(Tickets!$G$2:$G$161)-ROW(Tickets!$G$2)+1)/(Tickets!$G$2:$G$161=$E$3),ROWS($E$4:E59))),"")</f>
        <v/>
      </c>
      <c r="F59" s="2"/>
      <c r="G59" s="16" t="str">
        <f>IFERROR(INDEX(Tickets!$A$2:$A$161,_xlfn.AGGREGATE(15,6,(ROW(Tickets!$G$2:$G$161)-ROW(Tickets!$G$2)+1)/(Tickets!$G$2:$G$161=$G$3),ROWS($G$4:G59)))&amp;" - "&amp;INDEX(Tickets!$E$2:$E$161,_xlfn.AGGREGATE(15,6,(ROW(Tickets!$G$2:$G$161)-ROW(Tickets!$G$2)+1)/(Tickets!$G$2:$G$161=$G$3),ROWS($G$4:G59))),"")</f>
        <v/>
      </c>
      <c r="H59" s="2"/>
      <c r="I59" s="16" t="str">
        <f>IFERROR(INDEX(Tickets!$A$2:$A$161,_xlfn.AGGREGATE(15,6,(ROW(Tickets!$G$2:$G$161)-ROW(Tickets!$G$2)+1)/(Tickets!$G$2:$G$161=$I$3),ROWS($I$4:I59)))&amp;" - "&amp;INDEX(Tickets!$E$2:$E$161,_xlfn.AGGREGATE(15,6,(ROW(Tickets!$G$2:$G$161)-ROW(Tickets!$G$2)+1)/(Tickets!$G$2:$G$161=$I$3),ROWS($I$4:I59))),"")</f>
        <v/>
      </c>
      <c r="J59" s="2"/>
    </row>
    <row r="60" spans="1:10" ht="36" customHeight="1" x14ac:dyDescent="0.2">
      <c r="A60" s="16" t="str">
        <f>IFERROR(INDEX(Tickets!$A$2:$A$161,_xlfn.AGGREGATE(15,6,(ROW(Tickets!$G$2:$G$161)-ROW(Tickets!$G$2)+1)/(Tickets!$G$2:$G$161=$A$3),ROWS($A$4:A60)))&amp;" - "&amp;INDEX(Tickets!$E$2:$E$161,_xlfn.AGGREGATE(15,6,(ROW(Tickets!$G$2:$G$161)-ROW(Tickets!$G$2)+1)/(Tickets!$G$2:$G$161=$A$3),ROWS($A$4:A60))),"")</f>
        <v>WPT-067 - Show completed events count</v>
      </c>
      <c r="B60" s="2"/>
      <c r="C60" s="16" t="str">
        <f>IFERROR(INDEX(Tickets!$A$2:$A$161,_xlfn.AGGREGATE(15,6,(ROW(Tickets!$G$2:$G$161)-ROW(Tickets!$G$2)+1)/(Tickets!$G$2:$G$161=$C$3),ROWS($C$4:C60)))&amp;" - "&amp;INDEX(Tickets!$E$2:$E$161,_xlfn.AGGREGATE(15,6,(ROW(Tickets!$G$2:$G$161)-ROW(Tickets!$G$2)+1)/(Tickets!$G$2:$G$161=$C$3),ROWS($C$4:C60))),"")</f>
        <v/>
      </c>
      <c r="D60" s="2"/>
      <c r="E60" s="16" t="str">
        <f>IFERROR(INDEX(Tickets!$A$2:$A$161,_xlfn.AGGREGATE(15,6,(ROW(Tickets!$G$2:$G$161)-ROW(Tickets!$G$2)+1)/(Tickets!$G$2:$G$161=$E$3),ROWS($E$4:E60)))&amp;" - "&amp;INDEX(Tickets!$E$2:$E$161,_xlfn.AGGREGATE(15,6,(ROW(Tickets!$G$2:$G$161)-ROW(Tickets!$G$2)+1)/(Tickets!$G$2:$G$161=$E$3),ROWS($E$4:E60))),"")</f>
        <v/>
      </c>
      <c r="F60" s="2"/>
      <c r="G60" s="16" t="str">
        <f>IFERROR(INDEX(Tickets!$A$2:$A$161,_xlfn.AGGREGATE(15,6,(ROW(Tickets!$G$2:$G$161)-ROW(Tickets!$G$2)+1)/(Tickets!$G$2:$G$161=$G$3),ROWS($G$4:G60)))&amp;" - "&amp;INDEX(Tickets!$E$2:$E$161,_xlfn.AGGREGATE(15,6,(ROW(Tickets!$G$2:$G$161)-ROW(Tickets!$G$2)+1)/(Tickets!$G$2:$G$161=$G$3),ROWS($G$4:G60))),"")</f>
        <v/>
      </c>
      <c r="H60" s="2"/>
      <c r="I60" s="16" t="str">
        <f>IFERROR(INDEX(Tickets!$A$2:$A$161,_xlfn.AGGREGATE(15,6,(ROW(Tickets!$G$2:$G$161)-ROW(Tickets!$G$2)+1)/(Tickets!$G$2:$G$161=$I$3),ROWS($I$4:I60)))&amp;" - "&amp;INDEX(Tickets!$E$2:$E$161,_xlfn.AGGREGATE(15,6,(ROW(Tickets!$G$2:$G$161)-ROW(Tickets!$G$2)+1)/(Tickets!$G$2:$G$161=$I$3),ROWS($I$4:I60))),"")</f>
        <v/>
      </c>
      <c r="J60" s="2"/>
    </row>
    <row r="61" spans="1:10" ht="36" customHeight="1" x14ac:dyDescent="0.2">
      <c r="A61" s="16" t="str">
        <f>IFERROR(INDEX(Tickets!$A$2:$A$161,_xlfn.AGGREGATE(15,6,(ROW(Tickets!$G$2:$G$161)-ROW(Tickets!$G$2)+1)/(Tickets!$G$2:$G$161=$A$3),ROWS($A$4:A61)))&amp;" - "&amp;INDEX(Tickets!$E$2:$E$161,_xlfn.AGGREGATE(15,6,(ROW(Tickets!$G$2:$G$161)-ROW(Tickets!$G$2)+1)/(Tickets!$G$2:$G$161=$A$3),ROWS($A$4:A61))),"")</f>
        <v>WPT-068 - Create new event</v>
      </c>
      <c r="B61" s="2"/>
      <c r="C61" s="16" t="str">
        <f>IFERROR(INDEX(Tickets!$A$2:$A$161,_xlfn.AGGREGATE(15,6,(ROW(Tickets!$G$2:$G$161)-ROW(Tickets!$G$2)+1)/(Tickets!$G$2:$G$161=$C$3),ROWS($C$4:C61)))&amp;" - "&amp;INDEX(Tickets!$E$2:$E$161,_xlfn.AGGREGATE(15,6,(ROW(Tickets!$G$2:$G$161)-ROW(Tickets!$G$2)+1)/(Tickets!$G$2:$G$161=$C$3),ROWS($C$4:C61))),"")</f>
        <v/>
      </c>
      <c r="D61" s="2"/>
      <c r="E61" s="16" t="str">
        <f>IFERROR(INDEX(Tickets!$A$2:$A$161,_xlfn.AGGREGATE(15,6,(ROW(Tickets!$G$2:$G$161)-ROW(Tickets!$G$2)+1)/(Tickets!$G$2:$G$161=$E$3),ROWS($E$4:E61)))&amp;" - "&amp;INDEX(Tickets!$E$2:$E$161,_xlfn.AGGREGATE(15,6,(ROW(Tickets!$G$2:$G$161)-ROW(Tickets!$G$2)+1)/(Tickets!$G$2:$G$161=$E$3),ROWS($E$4:E61))),"")</f>
        <v/>
      </c>
      <c r="F61" s="2"/>
      <c r="G61" s="16" t="str">
        <f>IFERROR(INDEX(Tickets!$A$2:$A$161,_xlfn.AGGREGATE(15,6,(ROW(Tickets!$G$2:$G$161)-ROW(Tickets!$G$2)+1)/(Tickets!$G$2:$G$161=$G$3),ROWS($G$4:G61)))&amp;" - "&amp;INDEX(Tickets!$E$2:$E$161,_xlfn.AGGREGATE(15,6,(ROW(Tickets!$G$2:$G$161)-ROW(Tickets!$G$2)+1)/(Tickets!$G$2:$G$161=$G$3),ROWS($G$4:G61))),"")</f>
        <v/>
      </c>
      <c r="H61" s="2"/>
      <c r="I61" s="16" t="str">
        <f>IFERROR(INDEX(Tickets!$A$2:$A$161,_xlfn.AGGREGATE(15,6,(ROW(Tickets!$G$2:$G$161)-ROW(Tickets!$G$2)+1)/(Tickets!$G$2:$G$161=$I$3),ROWS($I$4:I61)))&amp;" - "&amp;INDEX(Tickets!$E$2:$E$161,_xlfn.AGGREGATE(15,6,(ROW(Tickets!$G$2:$G$161)-ROW(Tickets!$G$2)+1)/(Tickets!$G$2:$G$161=$I$3),ROWS($I$4:I61))),"")</f>
        <v/>
      </c>
      <c r="J61" s="2"/>
    </row>
    <row r="62" spans="1:10" ht="36" customHeight="1" x14ac:dyDescent="0.2">
      <c r="A62" s="16" t="str">
        <f>IFERROR(INDEX(Tickets!$A$2:$A$161,_xlfn.AGGREGATE(15,6,(ROW(Tickets!$G$2:$G$161)-ROW(Tickets!$G$2)+1)/(Tickets!$G$2:$G$161=$A$3),ROWS($A$4:A62)))&amp;" - "&amp;INDEX(Tickets!$E$2:$E$161,_xlfn.AGGREGATE(15,6,(ROW(Tickets!$G$2:$G$161)-ROW(Tickets!$G$2)+1)/(Tickets!$G$2:$G$161=$A$3),ROWS($A$4:A62))),"")</f>
        <v>WPT-069 - Create event form UI</v>
      </c>
      <c r="B62" s="2"/>
      <c r="C62" s="16" t="str">
        <f>IFERROR(INDEX(Tickets!$A$2:$A$161,_xlfn.AGGREGATE(15,6,(ROW(Tickets!$G$2:$G$161)-ROW(Tickets!$G$2)+1)/(Tickets!$G$2:$G$161=$C$3),ROWS($C$4:C62)))&amp;" - "&amp;INDEX(Tickets!$E$2:$E$161,_xlfn.AGGREGATE(15,6,(ROW(Tickets!$G$2:$G$161)-ROW(Tickets!$G$2)+1)/(Tickets!$G$2:$G$161=$C$3),ROWS($C$4:C62))),"")</f>
        <v/>
      </c>
      <c r="D62" s="2"/>
      <c r="E62" s="16" t="str">
        <f>IFERROR(INDEX(Tickets!$A$2:$A$161,_xlfn.AGGREGATE(15,6,(ROW(Tickets!$G$2:$G$161)-ROW(Tickets!$G$2)+1)/(Tickets!$G$2:$G$161=$E$3),ROWS($E$4:E62)))&amp;" - "&amp;INDEX(Tickets!$E$2:$E$161,_xlfn.AGGREGATE(15,6,(ROW(Tickets!$G$2:$G$161)-ROW(Tickets!$G$2)+1)/(Tickets!$G$2:$G$161=$E$3),ROWS($E$4:E62))),"")</f>
        <v/>
      </c>
      <c r="F62" s="2"/>
      <c r="G62" s="16" t="str">
        <f>IFERROR(INDEX(Tickets!$A$2:$A$161,_xlfn.AGGREGATE(15,6,(ROW(Tickets!$G$2:$G$161)-ROW(Tickets!$G$2)+1)/(Tickets!$G$2:$G$161=$G$3),ROWS($G$4:G62)))&amp;" - "&amp;INDEX(Tickets!$E$2:$E$161,_xlfn.AGGREGATE(15,6,(ROW(Tickets!$G$2:$G$161)-ROW(Tickets!$G$2)+1)/(Tickets!$G$2:$G$161=$G$3),ROWS($G$4:G62))),"")</f>
        <v/>
      </c>
      <c r="H62" s="2"/>
      <c r="I62" s="16" t="str">
        <f>IFERROR(INDEX(Tickets!$A$2:$A$161,_xlfn.AGGREGATE(15,6,(ROW(Tickets!$G$2:$G$161)-ROW(Tickets!$G$2)+1)/(Tickets!$G$2:$G$161=$I$3),ROWS($I$4:I62)))&amp;" - "&amp;INDEX(Tickets!$E$2:$E$161,_xlfn.AGGREGATE(15,6,(ROW(Tickets!$G$2:$G$161)-ROW(Tickets!$G$2)+1)/(Tickets!$G$2:$G$161=$I$3),ROWS($I$4:I62))),"")</f>
        <v/>
      </c>
      <c r="J62" s="2"/>
    </row>
    <row r="63" spans="1:10" ht="36" customHeight="1" x14ac:dyDescent="0.2">
      <c r="A63" s="16" t="str">
        <f>IFERROR(INDEX(Tickets!$A$2:$A$161,_xlfn.AGGREGATE(15,6,(ROW(Tickets!$G$2:$G$161)-ROW(Tickets!$G$2)+1)/(Tickets!$G$2:$G$161=$A$3),ROWS($A$4:A63)))&amp;" - "&amp;INDEX(Tickets!$E$2:$E$161,_xlfn.AGGREGATE(15,6,(ROW(Tickets!$G$2:$G$161)-ROW(Tickets!$G$2)+1)/(Tickets!$G$2:$G$161=$A$3),ROWS($A$4:A63))),"")</f>
        <v>WPT-070 - Create save event API</v>
      </c>
      <c r="B63" s="2"/>
      <c r="C63" s="16" t="str">
        <f>IFERROR(INDEX(Tickets!$A$2:$A$161,_xlfn.AGGREGATE(15,6,(ROW(Tickets!$G$2:$G$161)-ROW(Tickets!$G$2)+1)/(Tickets!$G$2:$G$161=$C$3),ROWS($C$4:C63)))&amp;" - "&amp;INDEX(Tickets!$E$2:$E$161,_xlfn.AGGREGATE(15,6,(ROW(Tickets!$G$2:$G$161)-ROW(Tickets!$G$2)+1)/(Tickets!$G$2:$G$161=$C$3),ROWS($C$4:C63))),"")</f>
        <v/>
      </c>
      <c r="D63" s="2"/>
      <c r="E63" s="16" t="str">
        <f>IFERROR(INDEX(Tickets!$A$2:$A$161,_xlfn.AGGREGATE(15,6,(ROW(Tickets!$G$2:$G$161)-ROW(Tickets!$G$2)+1)/(Tickets!$G$2:$G$161=$E$3),ROWS($E$4:E63)))&amp;" - "&amp;INDEX(Tickets!$E$2:$E$161,_xlfn.AGGREGATE(15,6,(ROW(Tickets!$G$2:$G$161)-ROW(Tickets!$G$2)+1)/(Tickets!$G$2:$G$161=$E$3),ROWS($E$4:E63))),"")</f>
        <v/>
      </c>
      <c r="F63" s="2"/>
      <c r="G63" s="16" t="str">
        <f>IFERROR(INDEX(Tickets!$A$2:$A$161,_xlfn.AGGREGATE(15,6,(ROW(Tickets!$G$2:$G$161)-ROW(Tickets!$G$2)+1)/(Tickets!$G$2:$G$161=$G$3),ROWS($G$4:G63)))&amp;" - "&amp;INDEX(Tickets!$E$2:$E$161,_xlfn.AGGREGATE(15,6,(ROW(Tickets!$G$2:$G$161)-ROW(Tickets!$G$2)+1)/(Tickets!$G$2:$G$161=$G$3),ROWS($G$4:G63))),"")</f>
        <v/>
      </c>
      <c r="H63" s="2"/>
      <c r="I63" s="16" t="str">
        <f>IFERROR(INDEX(Tickets!$A$2:$A$161,_xlfn.AGGREGATE(15,6,(ROW(Tickets!$G$2:$G$161)-ROW(Tickets!$G$2)+1)/(Tickets!$G$2:$G$161=$I$3),ROWS($I$4:I63)))&amp;" - "&amp;INDEX(Tickets!$E$2:$E$161,_xlfn.AGGREGATE(15,6,(ROW(Tickets!$G$2:$G$161)-ROW(Tickets!$G$2)+1)/(Tickets!$G$2:$G$161=$I$3),ROWS($I$4:I63))),"")</f>
        <v/>
      </c>
      <c r="J63" s="2"/>
    </row>
    <row r="64" spans="1:10" ht="36" customHeight="1" x14ac:dyDescent="0.2">
      <c r="A64" s="16" t="str">
        <f>IFERROR(INDEX(Tickets!$A$2:$A$161,_xlfn.AGGREGATE(15,6,(ROW(Tickets!$G$2:$G$161)-ROW(Tickets!$G$2)+1)/(Tickets!$G$2:$G$161=$A$3),ROWS($A$4:A64)))&amp;" - "&amp;INDEX(Tickets!$E$2:$E$161,_xlfn.AGGREGATE(15,6,(ROW(Tickets!$G$2:$G$161)-ROW(Tickets!$G$2)+1)/(Tickets!$G$2:$G$161=$A$3),ROWS($A$4:A64))),"")</f>
        <v>WPT-071 - Validate event fields</v>
      </c>
      <c r="B64" s="2"/>
      <c r="C64" s="16" t="str">
        <f>IFERROR(INDEX(Tickets!$A$2:$A$161,_xlfn.AGGREGATE(15,6,(ROW(Tickets!$G$2:$G$161)-ROW(Tickets!$G$2)+1)/(Tickets!$G$2:$G$161=$C$3),ROWS($C$4:C64)))&amp;" - "&amp;INDEX(Tickets!$E$2:$E$161,_xlfn.AGGREGATE(15,6,(ROW(Tickets!$G$2:$G$161)-ROW(Tickets!$G$2)+1)/(Tickets!$G$2:$G$161=$C$3),ROWS($C$4:C64))),"")</f>
        <v/>
      </c>
      <c r="D64" s="2"/>
      <c r="E64" s="16" t="str">
        <f>IFERROR(INDEX(Tickets!$A$2:$A$161,_xlfn.AGGREGATE(15,6,(ROW(Tickets!$G$2:$G$161)-ROW(Tickets!$G$2)+1)/(Tickets!$G$2:$G$161=$E$3),ROWS($E$4:E64)))&amp;" - "&amp;INDEX(Tickets!$E$2:$E$161,_xlfn.AGGREGATE(15,6,(ROW(Tickets!$G$2:$G$161)-ROW(Tickets!$G$2)+1)/(Tickets!$G$2:$G$161=$E$3),ROWS($E$4:E64))),"")</f>
        <v/>
      </c>
      <c r="F64" s="2"/>
      <c r="G64" s="16" t="str">
        <f>IFERROR(INDEX(Tickets!$A$2:$A$161,_xlfn.AGGREGATE(15,6,(ROW(Tickets!$G$2:$G$161)-ROW(Tickets!$G$2)+1)/(Tickets!$G$2:$G$161=$G$3),ROWS($G$4:G64)))&amp;" - "&amp;INDEX(Tickets!$E$2:$E$161,_xlfn.AGGREGATE(15,6,(ROW(Tickets!$G$2:$G$161)-ROW(Tickets!$G$2)+1)/(Tickets!$G$2:$G$161=$G$3),ROWS($G$4:G64))),"")</f>
        <v/>
      </c>
      <c r="H64" s="2"/>
      <c r="I64" s="16" t="str">
        <f>IFERROR(INDEX(Tickets!$A$2:$A$161,_xlfn.AGGREGATE(15,6,(ROW(Tickets!$G$2:$G$161)-ROW(Tickets!$G$2)+1)/(Tickets!$G$2:$G$161=$I$3),ROWS($I$4:I64)))&amp;" - "&amp;INDEX(Tickets!$E$2:$E$161,_xlfn.AGGREGATE(15,6,(ROW(Tickets!$G$2:$G$161)-ROW(Tickets!$G$2)+1)/(Tickets!$G$2:$G$161=$I$3),ROWS($I$4:I64))),"")</f>
        <v/>
      </c>
      <c r="J64" s="2"/>
    </row>
    <row r="65" spans="1:10" ht="36" customHeight="1" x14ac:dyDescent="0.2">
      <c r="A65" s="16" t="str">
        <f>IFERROR(INDEX(Tickets!$A$2:$A$161,_xlfn.AGGREGATE(15,6,(ROW(Tickets!$G$2:$G$161)-ROW(Tickets!$G$2)+1)/(Tickets!$G$2:$G$161=$A$3),ROWS($A$4:A65)))&amp;" - "&amp;INDEX(Tickets!$E$2:$E$161,_xlfn.AGGREGATE(15,6,(ROW(Tickets!$G$2:$G$161)-ROW(Tickets!$G$2)+1)/(Tickets!$G$2:$G$161=$A$3),ROWS($A$4:A65))),"")</f>
        <v>WPT-072 - View event details</v>
      </c>
      <c r="B65" s="2"/>
      <c r="C65" s="16" t="str">
        <f>IFERROR(INDEX(Tickets!$A$2:$A$161,_xlfn.AGGREGATE(15,6,(ROW(Tickets!$G$2:$G$161)-ROW(Tickets!$G$2)+1)/(Tickets!$G$2:$G$161=$C$3),ROWS($C$4:C65)))&amp;" - "&amp;INDEX(Tickets!$E$2:$E$161,_xlfn.AGGREGATE(15,6,(ROW(Tickets!$G$2:$G$161)-ROW(Tickets!$G$2)+1)/(Tickets!$G$2:$G$161=$C$3),ROWS($C$4:C65))),"")</f>
        <v/>
      </c>
      <c r="D65" s="2"/>
      <c r="E65" s="16" t="str">
        <f>IFERROR(INDEX(Tickets!$A$2:$A$161,_xlfn.AGGREGATE(15,6,(ROW(Tickets!$G$2:$G$161)-ROW(Tickets!$G$2)+1)/(Tickets!$G$2:$G$161=$E$3),ROWS($E$4:E65)))&amp;" - "&amp;INDEX(Tickets!$E$2:$E$161,_xlfn.AGGREGATE(15,6,(ROW(Tickets!$G$2:$G$161)-ROW(Tickets!$G$2)+1)/(Tickets!$G$2:$G$161=$E$3),ROWS($E$4:E65))),"")</f>
        <v/>
      </c>
      <c r="F65" s="2"/>
      <c r="G65" s="16" t="str">
        <f>IFERROR(INDEX(Tickets!$A$2:$A$161,_xlfn.AGGREGATE(15,6,(ROW(Tickets!$G$2:$G$161)-ROW(Tickets!$G$2)+1)/(Tickets!$G$2:$G$161=$G$3),ROWS($G$4:G65)))&amp;" - "&amp;INDEX(Tickets!$E$2:$E$161,_xlfn.AGGREGATE(15,6,(ROW(Tickets!$G$2:$G$161)-ROW(Tickets!$G$2)+1)/(Tickets!$G$2:$G$161=$G$3),ROWS($G$4:G65))),"")</f>
        <v/>
      </c>
      <c r="H65" s="2"/>
      <c r="I65" s="16" t="str">
        <f>IFERROR(INDEX(Tickets!$A$2:$A$161,_xlfn.AGGREGATE(15,6,(ROW(Tickets!$G$2:$G$161)-ROW(Tickets!$G$2)+1)/(Tickets!$G$2:$G$161=$I$3),ROWS($I$4:I65)))&amp;" - "&amp;INDEX(Tickets!$E$2:$E$161,_xlfn.AGGREGATE(15,6,(ROW(Tickets!$G$2:$G$161)-ROW(Tickets!$G$2)+1)/(Tickets!$G$2:$G$161=$I$3),ROWS($I$4:I65))),"")</f>
        <v/>
      </c>
      <c r="J65" s="2"/>
    </row>
    <row r="66" spans="1:10" ht="36" customHeight="1" x14ac:dyDescent="0.2">
      <c r="A66" s="16" t="str">
        <f>IFERROR(INDEX(Tickets!$A$2:$A$161,_xlfn.AGGREGATE(15,6,(ROW(Tickets!$G$2:$G$161)-ROW(Tickets!$G$2)+1)/(Tickets!$G$2:$G$161=$A$3),ROWS($A$4:A66)))&amp;" - "&amp;INDEX(Tickets!$E$2:$E$161,_xlfn.AGGREGATE(15,6,(ROW(Tickets!$G$2:$G$161)-ROW(Tickets!$G$2)+1)/(Tickets!$G$2:$G$161=$A$3),ROWS($A$4:A66))),"")</f>
        <v>WPT-073 - Display event information</v>
      </c>
      <c r="B66" s="2"/>
      <c r="C66" s="16" t="str">
        <f>IFERROR(INDEX(Tickets!$A$2:$A$161,_xlfn.AGGREGATE(15,6,(ROW(Tickets!$G$2:$G$161)-ROW(Tickets!$G$2)+1)/(Tickets!$G$2:$G$161=$C$3),ROWS($C$4:C66)))&amp;" - "&amp;INDEX(Tickets!$E$2:$E$161,_xlfn.AGGREGATE(15,6,(ROW(Tickets!$G$2:$G$161)-ROW(Tickets!$G$2)+1)/(Tickets!$G$2:$G$161=$C$3),ROWS($C$4:C66))),"")</f>
        <v/>
      </c>
      <c r="D66" s="2"/>
      <c r="E66" s="16" t="str">
        <f>IFERROR(INDEX(Tickets!$A$2:$A$161,_xlfn.AGGREGATE(15,6,(ROW(Tickets!$G$2:$G$161)-ROW(Tickets!$G$2)+1)/(Tickets!$G$2:$G$161=$E$3),ROWS($E$4:E66)))&amp;" - "&amp;INDEX(Tickets!$E$2:$E$161,_xlfn.AGGREGATE(15,6,(ROW(Tickets!$G$2:$G$161)-ROW(Tickets!$G$2)+1)/(Tickets!$G$2:$G$161=$E$3),ROWS($E$4:E66))),"")</f>
        <v/>
      </c>
      <c r="F66" s="2"/>
      <c r="G66" s="16" t="str">
        <f>IFERROR(INDEX(Tickets!$A$2:$A$161,_xlfn.AGGREGATE(15,6,(ROW(Tickets!$G$2:$G$161)-ROW(Tickets!$G$2)+1)/(Tickets!$G$2:$G$161=$G$3),ROWS($G$4:G66)))&amp;" - "&amp;INDEX(Tickets!$E$2:$E$161,_xlfn.AGGREGATE(15,6,(ROW(Tickets!$G$2:$G$161)-ROW(Tickets!$G$2)+1)/(Tickets!$G$2:$G$161=$G$3),ROWS($G$4:G66))),"")</f>
        <v/>
      </c>
      <c r="H66" s="2"/>
      <c r="I66" s="16" t="str">
        <f>IFERROR(INDEX(Tickets!$A$2:$A$161,_xlfn.AGGREGATE(15,6,(ROW(Tickets!$G$2:$G$161)-ROW(Tickets!$G$2)+1)/(Tickets!$G$2:$G$161=$I$3),ROWS($I$4:I66)))&amp;" - "&amp;INDEX(Tickets!$E$2:$E$161,_xlfn.AGGREGATE(15,6,(ROW(Tickets!$G$2:$G$161)-ROW(Tickets!$G$2)+1)/(Tickets!$G$2:$G$161=$I$3),ROWS($I$4:I66))),"")</f>
        <v/>
      </c>
      <c r="J66" s="2"/>
    </row>
    <row r="67" spans="1:10" ht="36" customHeight="1" x14ac:dyDescent="0.2">
      <c r="A67" s="16" t="str">
        <f>IFERROR(INDEX(Tickets!$A$2:$A$161,_xlfn.AGGREGATE(15,6,(ROW(Tickets!$G$2:$G$161)-ROW(Tickets!$G$2)+1)/(Tickets!$G$2:$G$161=$A$3),ROWS($A$4:A67)))&amp;" - "&amp;INDEX(Tickets!$E$2:$E$161,_xlfn.AGGREGATE(15,6,(ROW(Tickets!$G$2:$G$161)-ROW(Tickets!$G$2)+1)/(Tickets!$G$2:$G$161=$A$3),ROWS($A$4:A67))),"")</f>
        <v>WPT-074 - Display registered Employees count</v>
      </c>
      <c r="B67" s="2"/>
      <c r="C67" s="16" t="str">
        <f>IFERROR(INDEX(Tickets!$A$2:$A$161,_xlfn.AGGREGATE(15,6,(ROW(Tickets!$G$2:$G$161)-ROW(Tickets!$G$2)+1)/(Tickets!$G$2:$G$161=$C$3),ROWS($C$4:C67)))&amp;" - "&amp;INDEX(Tickets!$E$2:$E$161,_xlfn.AGGREGATE(15,6,(ROW(Tickets!$G$2:$G$161)-ROW(Tickets!$G$2)+1)/(Tickets!$G$2:$G$161=$C$3),ROWS($C$4:C67))),"")</f>
        <v/>
      </c>
      <c r="D67" s="2"/>
      <c r="E67" s="16" t="str">
        <f>IFERROR(INDEX(Tickets!$A$2:$A$161,_xlfn.AGGREGATE(15,6,(ROW(Tickets!$G$2:$G$161)-ROW(Tickets!$G$2)+1)/(Tickets!$G$2:$G$161=$E$3),ROWS($E$4:E67)))&amp;" - "&amp;INDEX(Tickets!$E$2:$E$161,_xlfn.AGGREGATE(15,6,(ROW(Tickets!$G$2:$G$161)-ROW(Tickets!$G$2)+1)/(Tickets!$G$2:$G$161=$E$3),ROWS($E$4:E67))),"")</f>
        <v/>
      </c>
      <c r="F67" s="2"/>
      <c r="G67" s="16" t="str">
        <f>IFERROR(INDEX(Tickets!$A$2:$A$161,_xlfn.AGGREGATE(15,6,(ROW(Tickets!$G$2:$G$161)-ROW(Tickets!$G$2)+1)/(Tickets!$G$2:$G$161=$G$3),ROWS($G$4:G67)))&amp;" - "&amp;INDEX(Tickets!$E$2:$E$161,_xlfn.AGGREGATE(15,6,(ROW(Tickets!$G$2:$G$161)-ROW(Tickets!$G$2)+1)/(Tickets!$G$2:$G$161=$G$3),ROWS($G$4:G67))),"")</f>
        <v/>
      </c>
      <c r="H67" s="2"/>
      <c r="I67" s="16" t="str">
        <f>IFERROR(INDEX(Tickets!$A$2:$A$161,_xlfn.AGGREGATE(15,6,(ROW(Tickets!$G$2:$G$161)-ROW(Tickets!$G$2)+1)/(Tickets!$G$2:$G$161=$I$3),ROWS($I$4:I67)))&amp;" - "&amp;INDEX(Tickets!$E$2:$E$161,_xlfn.AGGREGATE(15,6,(ROW(Tickets!$G$2:$G$161)-ROW(Tickets!$G$2)+1)/(Tickets!$G$2:$G$161=$I$3),ROWS($I$4:I67))),"")</f>
        <v/>
      </c>
      <c r="J67" s="2"/>
    </row>
    <row r="68" spans="1:10" ht="36" customHeight="1" x14ac:dyDescent="0.2">
      <c r="A68" s="16" t="str">
        <f>IFERROR(INDEX(Tickets!$A$2:$A$161,_xlfn.AGGREGATE(15,6,(ROW(Tickets!$G$2:$G$161)-ROW(Tickets!$G$2)+1)/(Tickets!$G$2:$G$161=$A$3),ROWS($A$4:A68)))&amp;" - "&amp;INDEX(Tickets!$E$2:$E$161,_xlfn.AGGREGATE(15,6,(ROW(Tickets!$G$2:$G$161)-ROW(Tickets!$G$2)+1)/(Tickets!$G$2:$G$161=$A$3),ROWS($A$4:A68))),"")</f>
        <v>WPT-075 - Display registered Employee list</v>
      </c>
      <c r="B68" s="2"/>
      <c r="C68" s="16" t="str">
        <f>IFERROR(INDEX(Tickets!$A$2:$A$161,_xlfn.AGGREGATE(15,6,(ROW(Tickets!$G$2:$G$161)-ROW(Tickets!$G$2)+1)/(Tickets!$G$2:$G$161=$C$3),ROWS($C$4:C68)))&amp;" - "&amp;INDEX(Tickets!$E$2:$E$161,_xlfn.AGGREGATE(15,6,(ROW(Tickets!$G$2:$G$161)-ROW(Tickets!$G$2)+1)/(Tickets!$G$2:$G$161=$C$3),ROWS($C$4:C68))),"")</f>
        <v/>
      </c>
      <c r="D68" s="2"/>
      <c r="E68" s="16" t="str">
        <f>IFERROR(INDEX(Tickets!$A$2:$A$161,_xlfn.AGGREGATE(15,6,(ROW(Tickets!$G$2:$G$161)-ROW(Tickets!$G$2)+1)/(Tickets!$G$2:$G$161=$E$3),ROWS($E$4:E68)))&amp;" - "&amp;INDEX(Tickets!$E$2:$E$161,_xlfn.AGGREGATE(15,6,(ROW(Tickets!$G$2:$G$161)-ROW(Tickets!$G$2)+1)/(Tickets!$G$2:$G$161=$E$3),ROWS($E$4:E68))),"")</f>
        <v/>
      </c>
      <c r="F68" s="2"/>
      <c r="G68" s="16" t="str">
        <f>IFERROR(INDEX(Tickets!$A$2:$A$161,_xlfn.AGGREGATE(15,6,(ROW(Tickets!$G$2:$G$161)-ROW(Tickets!$G$2)+1)/(Tickets!$G$2:$G$161=$G$3),ROWS($G$4:G68)))&amp;" - "&amp;INDEX(Tickets!$E$2:$E$161,_xlfn.AGGREGATE(15,6,(ROW(Tickets!$G$2:$G$161)-ROW(Tickets!$G$2)+1)/(Tickets!$G$2:$G$161=$G$3),ROWS($G$4:G68))),"")</f>
        <v/>
      </c>
      <c r="H68" s="2"/>
      <c r="I68" s="16" t="str">
        <f>IFERROR(INDEX(Tickets!$A$2:$A$161,_xlfn.AGGREGATE(15,6,(ROW(Tickets!$G$2:$G$161)-ROW(Tickets!$G$2)+1)/(Tickets!$G$2:$G$161=$I$3),ROWS($I$4:I68)))&amp;" - "&amp;INDEX(Tickets!$E$2:$E$161,_xlfn.AGGREGATE(15,6,(ROW(Tickets!$G$2:$G$161)-ROW(Tickets!$G$2)+1)/(Tickets!$G$2:$G$161=$I$3),ROWS($I$4:I68))),"")</f>
        <v/>
      </c>
      <c r="J68" s="2"/>
    </row>
    <row r="69" spans="1:10" ht="36" customHeight="1" x14ac:dyDescent="0.2">
      <c r="A69" s="16" t="str">
        <f>IFERROR(INDEX(Tickets!$A$2:$A$161,_xlfn.AGGREGATE(15,6,(ROW(Tickets!$G$2:$G$161)-ROW(Tickets!$G$2)+1)/(Tickets!$G$2:$G$161=$A$3),ROWS($A$4:A69)))&amp;" - "&amp;INDEX(Tickets!$E$2:$E$161,_xlfn.AGGREGATE(15,6,(ROW(Tickets!$G$2:$G$161)-ROW(Tickets!$G$2)+1)/(Tickets!$G$2:$G$161=$A$3),ROWS($A$4:A69))),"")</f>
        <v>WPT-076 - Edit cancel postpone or delete event</v>
      </c>
      <c r="B69" s="2"/>
      <c r="C69" s="16" t="str">
        <f>IFERROR(INDEX(Tickets!$A$2:$A$161,_xlfn.AGGREGATE(15,6,(ROW(Tickets!$G$2:$G$161)-ROW(Tickets!$G$2)+1)/(Tickets!$G$2:$G$161=$C$3),ROWS($C$4:C69)))&amp;" - "&amp;INDEX(Tickets!$E$2:$E$161,_xlfn.AGGREGATE(15,6,(ROW(Tickets!$G$2:$G$161)-ROW(Tickets!$G$2)+1)/(Tickets!$G$2:$G$161=$C$3),ROWS($C$4:C69))),"")</f>
        <v/>
      </c>
      <c r="D69" s="2"/>
      <c r="E69" s="16" t="str">
        <f>IFERROR(INDEX(Tickets!$A$2:$A$161,_xlfn.AGGREGATE(15,6,(ROW(Tickets!$G$2:$G$161)-ROW(Tickets!$G$2)+1)/(Tickets!$G$2:$G$161=$E$3),ROWS($E$4:E69)))&amp;" - "&amp;INDEX(Tickets!$E$2:$E$161,_xlfn.AGGREGATE(15,6,(ROW(Tickets!$G$2:$G$161)-ROW(Tickets!$G$2)+1)/(Tickets!$G$2:$G$161=$E$3),ROWS($E$4:E69))),"")</f>
        <v/>
      </c>
      <c r="F69" s="2"/>
      <c r="G69" s="16" t="str">
        <f>IFERROR(INDEX(Tickets!$A$2:$A$161,_xlfn.AGGREGATE(15,6,(ROW(Tickets!$G$2:$G$161)-ROW(Tickets!$G$2)+1)/(Tickets!$G$2:$G$161=$G$3),ROWS($G$4:G69)))&amp;" - "&amp;INDEX(Tickets!$E$2:$E$161,_xlfn.AGGREGATE(15,6,(ROW(Tickets!$G$2:$G$161)-ROW(Tickets!$G$2)+1)/(Tickets!$G$2:$G$161=$G$3),ROWS($G$4:G69))),"")</f>
        <v/>
      </c>
      <c r="H69" s="2"/>
      <c r="I69" s="16" t="str">
        <f>IFERROR(INDEX(Tickets!$A$2:$A$161,_xlfn.AGGREGATE(15,6,(ROW(Tickets!$G$2:$G$161)-ROW(Tickets!$G$2)+1)/(Tickets!$G$2:$G$161=$I$3),ROWS($I$4:I69)))&amp;" - "&amp;INDEX(Tickets!$E$2:$E$161,_xlfn.AGGREGATE(15,6,(ROW(Tickets!$G$2:$G$161)-ROW(Tickets!$G$2)+1)/(Tickets!$G$2:$G$161=$I$3),ROWS($I$4:I69))),"")</f>
        <v/>
      </c>
      <c r="J69" s="2"/>
    </row>
    <row r="70" spans="1:10" ht="36" customHeight="1" x14ac:dyDescent="0.2">
      <c r="A70" s="16" t="str">
        <f>IFERROR(INDEX(Tickets!$A$2:$A$161,_xlfn.AGGREGATE(15,6,(ROW(Tickets!$G$2:$G$161)-ROW(Tickets!$G$2)+1)/(Tickets!$G$2:$G$161=$A$3),ROWS($A$4:A70)))&amp;" - "&amp;INDEX(Tickets!$E$2:$E$161,_xlfn.AGGREGATE(15,6,(ROW(Tickets!$G$2:$G$161)-ROW(Tickets!$G$2)+1)/(Tickets!$G$2:$G$161=$A$3),ROWS($A$4:A70))),"")</f>
        <v>WPT-077 - Create edit event function</v>
      </c>
      <c r="B70" s="2"/>
      <c r="C70" s="16" t="str">
        <f>IFERROR(INDEX(Tickets!$A$2:$A$161,_xlfn.AGGREGATE(15,6,(ROW(Tickets!$G$2:$G$161)-ROW(Tickets!$G$2)+1)/(Tickets!$G$2:$G$161=$C$3),ROWS($C$4:C70)))&amp;" - "&amp;INDEX(Tickets!$E$2:$E$161,_xlfn.AGGREGATE(15,6,(ROW(Tickets!$G$2:$G$161)-ROW(Tickets!$G$2)+1)/(Tickets!$G$2:$G$161=$C$3),ROWS($C$4:C70))),"")</f>
        <v/>
      </c>
      <c r="D70" s="2"/>
      <c r="E70" s="16" t="str">
        <f>IFERROR(INDEX(Tickets!$A$2:$A$161,_xlfn.AGGREGATE(15,6,(ROW(Tickets!$G$2:$G$161)-ROW(Tickets!$G$2)+1)/(Tickets!$G$2:$G$161=$E$3),ROWS($E$4:E70)))&amp;" - "&amp;INDEX(Tickets!$E$2:$E$161,_xlfn.AGGREGATE(15,6,(ROW(Tickets!$G$2:$G$161)-ROW(Tickets!$G$2)+1)/(Tickets!$G$2:$G$161=$E$3),ROWS($E$4:E70))),"")</f>
        <v/>
      </c>
      <c r="F70" s="2"/>
      <c r="G70" s="16" t="str">
        <f>IFERROR(INDEX(Tickets!$A$2:$A$161,_xlfn.AGGREGATE(15,6,(ROW(Tickets!$G$2:$G$161)-ROW(Tickets!$G$2)+1)/(Tickets!$G$2:$G$161=$G$3),ROWS($G$4:G70)))&amp;" - "&amp;INDEX(Tickets!$E$2:$E$161,_xlfn.AGGREGATE(15,6,(ROW(Tickets!$G$2:$G$161)-ROW(Tickets!$G$2)+1)/(Tickets!$G$2:$G$161=$G$3),ROWS($G$4:G70))),"")</f>
        <v/>
      </c>
      <c r="H70" s="2"/>
      <c r="I70" s="16" t="str">
        <f>IFERROR(INDEX(Tickets!$A$2:$A$161,_xlfn.AGGREGATE(15,6,(ROW(Tickets!$G$2:$G$161)-ROW(Tickets!$G$2)+1)/(Tickets!$G$2:$G$161=$I$3),ROWS($I$4:I70)))&amp;" - "&amp;INDEX(Tickets!$E$2:$E$161,_xlfn.AGGREGATE(15,6,(ROW(Tickets!$G$2:$G$161)-ROW(Tickets!$G$2)+1)/(Tickets!$G$2:$G$161=$I$3),ROWS($I$4:I70))),"")</f>
        <v/>
      </c>
      <c r="J70" s="2"/>
    </row>
    <row r="71" spans="1:10" ht="36" customHeight="1" x14ac:dyDescent="0.2">
      <c r="A71" s="16" t="str">
        <f>IFERROR(INDEX(Tickets!$A$2:$A$161,_xlfn.AGGREGATE(15,6,(ROW(Tickets!$G$2:$G$161)-ROW(Tickets!$G$2)+1)/(Tickets!$G$2:$G$161=$A$3),ROWS($A$4:A71)))&amp;" - "&amp;INDEX(Tickets!$E$2:$E$161,_xlfn.AGGREGATE(15,6,(ROW(Tickets!$G$2:$G$161)-ROW(Tickets!$G$2)+1)/(Tickets!$G$2:$G$161=$A$3),ROWS($A$4:A71))),"")</f>
        <v>WPT-078 - Create cancel event function</v>
      </c>
      <c r="B71" s="2"/>
      <c r="C71" s="16" t="str">
        <f>IFERROR(INDEX(Tickets!$A$2:$A$161,_xlfn.AGGREGATE(15,6,(ROW(Tickets!$G$2:$G$161)-ROW(Tickets!$G$2)+1)/(Tickets!$G$2:$G$161=$C$3),ROWS($C$4:C71)))&amp;" - "&amp;INDEX(Tickets!$E$2:$E$161,_xlfn.AGGREGATE(15,6,(ROW(Tickets!$G$2:$G$161)-ROW(Tickets!$G$2)+1)/(Tickets!$G$2:$G$161=$C$3),ROWS($C$4:C71))),"")</f>
        <v/>
      </c>
      <c r="D71" s="2"/>
      <c r="E71" s="16" t="str">
        <f>IFERROR(INDEX(Tickets!$A$2:$A$161,_xlfn.AGGREGATE(15,6,(ROW(Tickets!$G$2:$G$161)-ROW(Tickets!$G$2)+1)/(Tickets!$G$2:$G$161=$E$3),ROWS($E$4:E71)))&amp;" - "&amp;INDEX(Tickets!$E$2:$E$161,_xlfn.AGGREGATE(15,6,(ROW(Tickets!$G$2:$G$161)-ROW(Tickets!$G$2)+1)/(Tickets!$G$2:$G$161=$E$3),ROWS($E$4:E71))),"")</f>
        <v/>
      </c>
      <c r="F71" s="2"/>
      <c r="G71" s="16" t="str">
        <f>IFERROR(INDEX(Tickets!$A$2:$A$161,_xlfn.AGGREGATE(15,6,(ROW(Tickets!$G$2:$G$161)-ROW(Tickets!$G$2)+1)/(Tickets!$G$2:$G$161=$G$3),ROWS($G$4:G71)))&amp;" - "&amp;INDEX(Tickets!$E$2:$E$161,_xlfn.AGGREGATE(15,6,(ROW(Tickets!$G$2:$G$161)-ROW(Tickets!$G$2)+1)/(Tickets!$G$2:$G$161=$G$3),ROWS($G$4:G71))),"")</f>
        <v/>
      </c>
      <c r="H71" s="2"/>
      <c r="I71" s="16" t="str">
        <f>IFERROR(INDEX(Tickets!$A$2:$A$161,_xlfn.AGGREGATE(15,6,(ROW(Tickets!$G$2:$G$161)-ROW(Tickets!$G$2)+1)/(Tickets!$G$2:$G$161=$I$3),ROWS($I$4:I71)))&amp;" - "&amp;INDEX(Tickets!$E$2:$E$161,_xlfn.AGGREGATE(15,6,(ROW(Tickets!$G$2:$G$161)-ROW(Tickets!$G$2)+1)/(Tickets!$G$2:$G$161=$I$3),ROWS($I$4:I71))),"")</f>
        <v/>
      </c>
      <c r="J71" s="2"/>
    </row>
    <row r="72" spans="1:10" ht="36" customHeight="1" x14ac:dyDescent="0.2">
      <c r="A72" s="16" t="str">
        <f>IFERROR(INDEX(Tickets!$A$2:$A$161,_xlfn.AGGREGATE(15,6,(ROW(Tickets!$G$2:$G$161)-ROW(Tickets!$G$2)+1)/(Tickets!$G$2:$G$161=$A$3),ROWS($A$4:A72)))&amp;" - "&amp;INDEX(Tickets!$E$2:$E$161,_xlfn.AGGREGATE(15,6,(ROW(Tickets!$G$2:$G$161)-ROW(Tickets!$G$2)+1)/(Tickets!$G$2:$G$161=$A$3),ROWS($A$4:A72))),"")</f>
        <v>WPT-079 - Create postpone event function</v>
      </c>
      <c r="B72" s="2"/>
      <c r="C72" s="16" t="str">
        <f>IFERROR(INDEX(Tickets!$A$2:$A$161,_xlfn.AGGREGATE(15,6,(ROW(Tickets!$G$2:$G$161)-ROW(Tickets!$G$2)+1)/(Tickets!$G$2:$G$161=$C$3),ROWS($C$4:C72)))&amp;" - "&amp;INDEX(Tickets!$E$2:$E$161,_xlfn.AGGREGATE(15,6,(ROW(Tickets!$G$2:$G$161)-ROW(Tickets!$G$2)+1)/(Tickets!$G$2:$G$161=$C$3),ROWS($C$4:C72))),"")</f>
        <v/>
      </c>
      <c r="D72" s="2"/>
      <c r="E72" s="16" t="str">
        <f>IFERROR(INDEX(Tickets!$A$2:$A$161,_xlfn.AGGREGATE(15,6,(ROW(Tickets!$G$2:$G$161)-ROW(Tickets!$G$2)+1)/(Tickets!$G$2:$G$161=$E$3),ROWS($E$4:E72)))&amp;" - "&amp;INDEX(Tickets!$E$2:$E$161,_xlfn.AGGREGATE(15,6,(ROW(Tickets!$G$2:$G$161)-ROW(Tickets!$G$2)+1)/(Tickets!$G$2:$G$161=$E$3),ROWS($E$4:E72))),"")</f>
        <v/>
      </c>
      <c r="F72" s="2"/>
      <c r="G72" s="16" t="str">
        <f>IFERROR(INDEX(Tickets!$A$2:$A$161,_xlfn.AGGREGATE(15,6,(ROW(Tickets!$G$2:$G$161)-ROW(Tickets!$G$2)+1)/(Tickets!$G$2:$G$161=$G$3),ROWS($G$4:G72)))&amp;" - "&amp;INDEX(Tickets!$E$2:$E$161,_xlfn.AGGREGATE(15,6,(ROW(Tickets!$G$2:$G$161)-ROW(Tickets!$G$2)+1)/(Tickets!$G$2:$G$161=$G$3),ROWS($G$4:G72))),"")</f>
        <v/>
      </c>
      <c r="H72" s="2"/>
      <c r="I72" s="16" t="str">
        <f>IFERROR(INDEX(Tickets!$A$2:$A$161,_xlfn.AGGREGATE(15,6,(ROW(Tickets!$G$2:$G$161)-ROW(Tickets!$G$2)+1)/(Tickets!$G$2:$G$161=$I$3),ROWS($I$4:I72)))&amp;" - "&amp;INDEX(Tickets!$E$2:$E$161,_xlfn.AGGREGATE(15,6,(ROW(Tickets!$G$2:$G$161)-ROW(Tickets!$G$2)+1)/(Tickets!$G$2:$G$161=$I$3),ROWS($I$4:I72))),"")</f>
        <v/>
      </c>
      <c r="J72" s="2"/>
    </row>
    <row r="73" spans="1:10" ht="36" customHeight="1" x14ac:dyDescent="0.2">
      <c r="A73" s="16" t="str">
        <f>IFERROR(INDEX(Tickets!$A$2:$A$161,_xlfn.AGGREGATE(15,6,(ROW(Tickets!$G$2:$G$161)-ROW(Tickets!$G$2)+1)/(Tickets!$G$2:$G$161=$A$3),ROWS($A$4:A73)))&amp;" - "&amp;INDEX(Tickets!$E$2:$E$161,_xlfn.AGGREGATE(15,6,(ROW(Tickets!$G$2:$G$161)-ROW(Tickets!$G$2)+1)/(Tickets!$G$2:$G$161=$A$3),ROWS($A$4:A73))),"")</f>
        <v>WPT-080 - Create delete event function</v>
      </c>
      <c r="B73" s="2"/>
      <c r="C73" s="16" t="str">
        <f>IFERROR(INDEX(Tickets!$A$2:$A$161,_xlfn.AGGREGATE(15,6,(ROW(Tickets!$G$2:$G$161)-ROW(Tickets!$G$2)+1)/(Tickets!$G$2:$G$161=$C$3),ROWS($C$4:C73)))&amp;" - "&amp;INDEX(Tickets!$E$2:$E$161,_xlfn.AGGREGATE(15,6,(ROW(Tickets!$G$2:$G$161)-ROW(Tickets!$G$2)+1)/(Tickets!$G$2:$G$161=$C$3),ROWS($C$4:C73))),"")</f>
        <v/>
      </c>
      <c r="D73" s="2"/>
      <c r="E73" s="16" t="str">
        <f>IFERROR(INDEX(Tickets!$A$2:$A$161,_xlfn.AGGREGATE(15,6,(ROW(Tickets!$G$2:$G$161)-ROW(Tickets!$G$2)+1)/(Tickets!$G$2:$G$161=$E$3),ROWS($E$4:E73)))&amp;" - "&amp;INDEX(Tickets!$E$2:$E$161,_xlfn.AGGREGATE(15,6,(ROW(Tickets!$G$2:$G$161)-ROW(Tickets!$G$2)+1)/(Tickets!$G$2:$G$161=$E$3),ROWS($E$4:E73))),"")</f>
        <v/>
      </c>
      <c r="F73" s="2"/>
      <c r="G73" s="16" t="str">
        <f>IFERROR(INDEX(Tickets!$A$2:$A$161,_xlfn.AGGREGATE(15,6,(ROW(Tickets!$G$2:$G$161)-ROW(Tickets!$G$2)+1)/(Tickets!$G$2:$G$161=$G$3),ROWS($G$4:G73)))&amp;" - "&amp;INDEX(Tickets!$E$2:$E$161,_xlfn.AGGREGATE(15,6,(ROW(Tickets!$G$2:$G$161)-ROW(Tickets!$G$2)+1)/(Tickets!$G$2:$G$161=$G$3),ROWS($G$4:G73))),"")</f>
        <v/>
      </c>
      <c r="H73" s="2"/>
      <c r="I73" s="16" t="str">
        <f>IFERROR(INDEX(Tickets!$A$2:$A$161,_xlfn.AGGREGATE(15,6,(ROW(Tickets!$G$2:$G$161)-ROW(Tickets!$G$2)+1)/(Tickets!$G$2:$G$161=$I$3),ROWS($I$4:I73)))&amp;" - "&amp;INDEX(Tickets!$E$2:$E$161,_xlfn.AGGREGATE(15,6,(ROW(Tickets!$G$2:$G$161)-ROW(Tickets!$G$2)+1)/(Tickets!$G$2:$G$161=$I$3),ROWS($I$4:I73))),"")</f>
        <v/>
      </c>
      <c r="J73" s="2"/>
    </row>
    <row r="74" spans="1:10" ht="36" customHeight="1" x14ac:dyDescent="0.2">
      <c r="A74" s="16" t="str">
        <f>IFERROR(INDEX(Tickets!$A$2:$A$161,_xlfn.AGGREGATE(15,6,(ROW(Tickets!$G$2:$G$161)-ROW(Tickets!$G$2)+1)/(Tickets!$G$2:$G$161=$A$3),ROWS($A$4:A74)))&amp;" - "&amp;INDEX(Tickets!$E$2:$E$161,_xlfn.AGGREGATE(15,6,(ROW(Tickets!$G$2:$G$161)-ROW(Tickets!$G$2)+1)/(Tickets!$G$2:$G$161=$A$3),ROWS($A$4:A74))),"")</f>
        <v>WPT-081 - Employee Dashboard and Profile</v>
      </c>
      <c r="B74" s="2"/>
      <c r="C74" s="16" t="str">
        <f>IFERROR(INDEX(Tickets!$A$2:$A$161,_xlfn.AGGREGATE(15,6,(ROW(Tickets!$G$2:$G$161)-ROW(Tickets!$G$2)+1)/(Tickets!$G$2:$G$161=$C$3),ROWS($C$4:C74)))&amp;" - "&amp;INDEX(Tickets!$E$2:$E$161,_xlfn.AGGREGATE(15,6,(ROW(Tickets!$G$2:$G$161)-ROW(Tickets!$G$2)+1)/(Tickets!$G$2:$G$161=$C$3),ROWS($C$4:C74))),"")</f>
        <v/>
      </c>
      <c r="D74" s="2"/>
      <c r="E74" s="16" t="str">
        <f>IFERROR(INDEX(Tickets!$A$2:$A$161,_xlfn.AGGREGATE(15,6,(ROW(Tickets!$G$2:$G$161)-ROW(Tickets!$G$2)+1)/(Tickets!$G$2:$G$161=$E$3),ROWS($E$4:E74)))&amp;" - "&amp;INDEX(Tickets!$E$2:$E$161,_xlfn.AGGREGATE(15,6,(ROW(Tickets!$G$2:$G$161)-ROW(Tickets!$G$2)+1)/(Tickets!$G$2:$G$161=$E$3),ROWS($E$4:E74))),"")</f>
        <v/>
      </c>
      <c r="F74" s="2"/>
      <c r="G74" s="16" t="str">
        <f>IFERROR(INDEX(Tickets!$A$2:$A$161,_xlfn.AGGREGATE(15,6,(ROW(Tickets!$G$2:$G$161)-ROW(Tickets!$G$2)+1)/(Tickets!$G$2:$G$161=$G$3),ROWS($G$4:G74)))&amp;" - "&amp;INDEX(Tickets!$E$2:$E$161,_xlfn.AGGREGATE(15,6,(ROW(Tickets!$G$2:$G$161)-ROW(Tickets!$G$2)+1)/(Tickets!$G$2:$G$161=$G$3),ROWS($G$4:G74))),"")</f>
        <v/>
      </c>
      <c r="H74" s="2"/>
      <c r="I74" s="16" t="str">
        <f>IFERROR(INDEX(Tickets!$A$2:$A$161,_xlfn.AGGREGATE(15,6,(ROW(Tickets!$G$2:$G$161)-ROW(Tickets!$G$2)+1)/(Tickets!$G$2:$G$161=$I$3),ROWS($I$4:I74)))&amp;" - "&amp;INDEX(Tickets!$E$2:$E$161,_xlfn.AGGREGATE(15,6,(ROW(Tickets!$G$2:$G$161)-ROW(Tickets!$G$2)+1)/(Tickets!$G$2:$G$161=$I$3),ROWS($I$4:I74))),"")</f>
        <v/>
      </c>
      <c r="J74" s="2"/>
    </row>
    <row r="75" spans="1:10" ht="36" customHeight="1" x14ac:dyDescent="0.2">
      <c r="A75" s="16" t="str">
        <f>IFERROR(INDEX(Tickets!$A$2:$A$161,_xlfn.AGGREGATE(15,6,(ROW(Tickets!$G$2:$G$161)-ROW(Tickets!$G$2)+1)/(Tickets!$G$2:$G$161=$A$3),ROWS($A$4:A75)))&amp;" - "&amp;INDEX(Tickets!$E$2:$E$161,_xlfn.AGGREGATE(15,6,(ROW(Tickets!$G$2:$G$161)-ROW(Tickets!$G$2)+1)/(Tickets!$G$2:$G$161=$A$3),ROWS($A$4:A75))),"")</f>
        <v>WPT-082 - Employee profile management</v>
      </c>
      <c r="B75" s="2"/>
      <c r="C75" s="16" t="str">
        <f>IFERROR(INDEX(Tickets!$A$2:$A$161,_xlfn.AGGREGATE(15,6,(ROW(Tickets!$G$2:$G$161)-ROW(Tickets!$G$2)+1)/(Tickets!$G$2:$G$161=$C$3),ROWS($C$4:C75)))&amp;" - "&amp;INDEX(Tickets!$E$2:$E$161,_xlfn.AGGREGATE(15,6,(ROW(Tickets!$G$2:$G$161)-ROW(Tickets!$G$2)+1)/(Tickets!$G$2:$G$161=$C$3),ROWS($C$4:C75))),"")</f>
        <v/>
      </c>
      <c r="D75" s="2"/>
      <c r="E75" s="16" t="str">
        <f>IFERROR(INDEX(Tickets!$A$2:$A$161,_xlfn.AGGREGATE(15,6,(ROW(Tickets!$G$2:$G$161)-ROW(Tickets!$G$2)+1)/(Tickets!$G$2:$G$161=$E$3),ROWS($E$4:E75)))&amp;" - "&amp;INDEX(Tickets!$E$2:$E$161,_xlfn.AGGREGATE(15,6,(ROW(Tickets!$G$2:$G$161)-ROW(Tickets!$G$2)+1)/(Tickets!$G$2:$G$161=$E$3),ROWS($E$4:E75))),"")</f>
        <v/>
      </c>
      <c r="F75" s="2"/>
      <c r="G75" s="16" t="str">
        <f>IFERROR(INDEX(Tickets!$A$2:$A$161,_xlfn.AGGREGATE(15,6,(ROW(Tickets!$G$2:$G$161)-ROW(Tickets!$G$2)+1)/(Tickets!$G$2:$G$161=$G$3),ROWS($G$4:G75)))&amp;" - "&amp;INDEX(Tickets!$E$2:$E$161,_xlfn.AGGREGATE(15,6,(ROW(Tickets!$G$2:$G$161)-ROW(Tickets!$G$2)+1)/(Tickets!$G$2:$G$161=$G$3),ROWS($G$4:G75))),"")</f>
        <v/>
      </c>
      <c r="H75" s="2"/>
      <c r="I75" s="16" t="str">
        <f>IFERROR(INDEX(Tickets!$A$2:$A$161,_xlfn.AGGREGATE(15,6,(ROW(Tickets!$G$2:$G$161)-ROW(Tickets!$G$2)+1)/(Tickets!$G$2:$G$161=$I$3),ROWS($I$4:I75)))&amp;" - "&amp;INDEX(Tickets!$E$2:$E$161,_xlfn.AGGREGATE(15,6,(ROW(Tickets!$G$2:$G$161)-ROW(Tickets!$G$2)+1)/(Tickets!$G$2:$G$161=$I$3),ROWS($I$4:I75))),"")</f>
        <v/>
      </c>
      <c r="J75" s="2"/>
    </row>
    <row r="76" spans="1:10" ht="36" customHeight="1" x14ac:dyDescent="0.2">
      <c r="A76" s="16" t="str">
        <f>IFERROR(INDEX(Tickets!$A$2:$A$161,_xlfn.AGGREGATE(15,6,(ROW(Tickets!$G$2:$G$161)-ROW(Tickets!$G$2)+1)/(Tickets!$G$2:$G$161=$A$3),ROWS($A$4:A76)))&amp;" - "&amp;INDEX(Tickets!$E$2:$E$161,_xlfn.AGGREGATE(15,6,(ROW(Tickets!$G$2:$G$161)-ROW(Tickets!$G$2)+1)/(Tickets!$G$2:$G$161=$A$3),ROWS($A$4:A76))),"")</f>
        <v>WPT-083 - Create Employee profile page</v>
      </c>
      <c r="B76" s="2"/>
      <c r="C76" s="16" t="str">
        <f>IFERROR(INDEX(Tickets!$A$2:$A$161,_xlfn.AGGREGATE(15,6,(ROW(Tickets!$G$2:$G$161)-ROW(Tickets!$G$2)+1)/(Tickets!$G$2:$G$161=$C$3),ROWS($C$4:C76)))&amp;" - "&amp;INDEX(Tickets!$E$2:$E$161,_xlfn.AGGREGATE(15,6,(ROW(Tickets!$G$2:$G$161)-ROW(Tickets!$G$2)+1)/(Tickets!$G$2:$G$161=$C$3),ROWS($C$4:C76))),"")</f>
        <v/>
      </c>
      <c r="D76" s="2"/>
      <c r="E76" s="16" t="str">
        <f>IFERROR(INDEX(Tickets!$A$2:$A$161,_xlfn.AGGREGATE(15,6,(ROW(Tickets!$G$2:$G$161)-ROW(Tickets!$G$2)+1)/(Tickets!$G$2:$G$161=$E$3),ROWS($E$4:E76)))&amp;" - "&amp;INDEX(Tickets!$E$2:$E$161,_xlfn.AGGREGATE(15,6,(ROW(Tickets!$G$2:$G$161)-ROW(Tickets!$G$2)+1)/(Tickets!$G$2:$G$161=$E$3),ROWS($E$4:E76))),"")</f>
        <v/>
      </c>
      <c r="F76" s="2"/>
      <c r="G76" s="16" t="str">
        <f>IFERROR(INDEX(Tickets!$A$2:$A$161,_xlfn.AGGREGATE(15,6,(ROW(Tickets!$G$2:$G$161)-ROW(Tickets!$G$2)+1)/(Tickets!$G$2:$G$161=$G$3),ROWS($G$4:G76)))&amp;" - "&amp;INDEX(Tickets!$E$2:$E$161,_xlfn.AGGREGATE(15,6,(ROW(Tickets!$G$2:$G$161)-ROW(Tickets!$G$2)+1)/(Tickets!$G$2:$G$161=$G$3),ROWS($G$4:G76))),"")</f>
        <v/>
      </c>
      <c r="H76" s="2"/>
      <c r="I76" s="16" t="str">
        <f>IFERROR(INDEX(Tickets!$A$2:$A$161,_xlfn.AGGREGATE(15,6,(ROW(Tickets!$G$2:$G$161)-ROW(Tickets!$G$2)+1)/(Tickets!$G$2:$G$161=$I$3),ROWS($I$4:I76)))&amp;" - "&amp;INDEX(Tickets!$E$2:$E$161,_xlfn.AGGREGATE(15,6,(ROW(Tickets!$G$2:$G$161)-ROW(Tickets!$G$2)+1)/(Tickets!$G$2:$G$161=$I$3),ROWS($I$4:I76))),"")</f>
        <v/>
      </c>
      <c r="J76" s="2"/>
    </row>
    <row r="77" spans="1:10" ht="36" customHeight="1" x14ac:dyDescent="0.2">
      <c r="A77" s="16" t="str">
        <f>IFERROR(INDEX(Tickets!$A$2:$A$161,_xlfn.AGGREGATE(15,6,(ROW(Tickets!$G$2:$G$161)-ROW(Tickets!$G$2)+1)/(Tickets!$G$2:$G$161=$A$3),ROWS($A$4:A77)))&amp;" - "&amp;INDEX(Tickets!$E$2:$E$161,_xlfn.AGGREGATE(15,6,(ROW(Tickets!$G$2:$G$161)-ROW(Tickets!$G$2)+1)/(Tickets!$G$2:$G$161=$A$3),ROWS($A$4:A77))),"")</f>
        <v>WPT-084 - Create edit Employee profile function</v>
      </c>
      <c r="B77" s="2"/>
      <c r="C77" s="16" t="str">
        <f>IFERROR(INDEX(Tickets!$A$2:$A$161,_xlfn.AGGREGATE(15,6,(ROW(Tickets!$G$2:$G$161)-ROW(Tickets!$G$2)+1)/(Tickets!$G$2:$G$161=$C$3),ROWS($C$4:C77)))&amp;" - "&amp;INDEX(Tickets!$E$2:$E$161,_xlfn.AGGREGATE(15,6,(ROW(Tickets!$G$2:$G$161)-ROW(Tickets!$G$2)+1)/(Tickets!$G$2:$G$161=$C$3),ROWS($C$4:C77))),"")</f>
        <v/>
      </c>
      <c r="D77" s="2"/>
      <c r="E77" s="16" t="str">
        <f>IFERROR(INDEX(Tickets!$A$2:$A$161,_xlfn.AGGREGATE(15,6,(ROW(Tickets!$G$2:$G$161)-ROW(Tickets!$G$2)+1)/(Tickets!$G$2:$G$161=$E$3),ROWS($E$4:E77)))&amp;" - "&amp;INDEX(Tickets!$E$2:$E$161,_xlfn.AGGREGATE(15,6,(ROW(Tickets!$G$2:$G$161)-ROW(Tickets!$G$2)+1)/(Tickets!$G$2:$G$161=$E$3),ROWS($E$4:E77))),"")</f>
        <v/>
      </c>
      <c r="F77" s="2"/>
      <c r="G77" s="16" t="str">
        <f>IFERROR(INDEX(Tickets!$A$2:$A$161,_xlfn.AGGREGATE(15,6,(ROW(Tickets!$G$2:$G$161)-ROW(Tickets!$G$2)+1)/(Tickets!$G$2:$G$161=$G$3),ROWS($G$4:G77)))&amp;" - "&amp;INDEX(Tickets!$E$2:$E$161,_xlfn.AGGREGATE(15,6,(ROW(Tickets!$G$2:$G$161)-ROW(Tickets!$G$2)+1)/(Tickets!$G$2:$G$161=$G$3),ROWS($G$4:G77))),"")</f>
        <v/>
      </c>
      <c r="H77" s="2"/>
      <c r="I77" s="16" t="str">
        <f>IFERROR(INDEX(Tickets!$A$2:$A$161,_xlfn.AGGREGATE(15,6,(ROW(Tickets!$G$2:$G$161)-ROW(Tickets!$G$2)+1)/(Tickets!$G$2:$G$161=$I$3),ROWS($I$4:I77)))&amp;" - "&amp;INDEX(Tickets!$E$2:$E$161,_xlfn.AGGREGATE(15,6,(ROW(Tickets!$G$2:$G$161)-ROW(Tickets!$G$2)+1)/(Tickets!$G$2:$G$161=$I$3),ROWS($I$4:I77))),"")</f>
        <v/>
      </c>
      <c r="J77" s="2"/>
    </row>
    <row r="78" spans="1:10" ht="36" customHeight="1" x14ac:dyDescent="0.2">
      <c r="A78" s="16" t="str">
        <f>IFERROR(INDEX(Tickets!$A$2:$A$161,_xlfn.AGGREGATE(15,6,(ROW(Tickets!$G$2:$G$161)-ROW(Tickets!$G$2)+1)/(Tickets!$G$2:$G$161=$A$3),ROWS($A$4:A78)))&amp;" - "&amp;INDEX(Tickets!$E$2:$E$161,_xlfn.AGGREGATE(15,6,(ROW(Tickets!$G$2:$G$161)-ROW(Tickets!$G$2)+1)/(Tickets!$G$2:$G$161=$A$3),ROWS($A$4:A78))),"")</f>
        <v>WPT-085 - Create resume upload function</v>
      </c>
      <c r="B78" s="2"/>
      <c r="C78" s="16" t="str">
        <f>IFERROR(INDEX(Tickets!$A$2:$A$161,_xlfn.AGGREGATE(15,6,(ROW(Tickets!$G$2:$G$161)-ROW(Tickets!$G$2)+1)/(Tickets!$G$2:$G$161=$C$3),ROWS($C$4:C78)))&amp;" - "&amp;INDEX(Tickets!$E$2:$E$161,_xlfn.AGGREGATE(15,6,(ROW(Tickets!$G$2:$G$161)-ROW(Tickets!$G$2)+1)/(Tickets!$G$2:$G$161=$C$3),ROWS($C$4:C78))),"")</f>
        <v/>
      </c>
      <c r="D78" s="2"/>
      <c r="E78" s="16" t="str">
        <f>IFERROR(INDEX(Tickets!$A$2:$A$161,_xlfn.AGGREGATE(15,6,(ROW(Tickets!$G$2:$G$161)-ROW(Tickets!$G$2)+1)/(Tickets!$G$2:$G$161=$E$3),ROWS($E$4:E78)))&amp;" - "&amp;INDEX(Tickets!$E$2:$E$161,_xlfn.AGGREGATE(15,6,(ROW(Tickets!$G$2:$G$161)-ROW(Tickets!$G$2)+1)/(Tickets!$G$2:$G$161=$E$3),ROWS($E$4:E78))),"")</f>
        <v/>
      </c>
      <c r="F78" s="2"/>
      <c r="G78" s="16" t="str">
        <f>IFERROR(INDEX(Tickets!$A$2:$A$161,_xlfn.AGGREGATE(15,6,(ROW(Tickets!$G$2:$G$161)-ROW(Tickets!$G$2)+1)/(Tickets!$G$2:$G$161=$G$3),ROWS($G$4:G78)))&amp;" - "&amp;INDEX(Tickets!$E$2:$E$161,_xlfn.AGGREGATE(15,6,(ROW(Tickets!$G$2:$G$161)-ROW(Tickets!$G$2)+1)/(Tickets!$G$2:$G$161=$G$3),ROWS($G$4:G78))),"")</f>
        <v/>
      </c>
      <c r="H78" s="2"/>
      <c r="I78" s="16" t="str">
        <f>IFERROR(INDEX(Tickets!$A$2:$A$161,_xlfn.AGGREGATE(15,6,(ROW(Tickets!$G$2:$G$161)-ROW(Tickets!$G$2)+1)/(Tickets!$G$2:$G$161=$I$3),ROWS($I$4:I78)))&amp;" - "&amp;INDEX(Tickets!$E$2:$E$161,_xlfn.AGGREGATE(15,6,(ROW(Tickets!$G$2:$G$161)-ROW(Tickets!$G$2)+1)/(Tickets!$G$2:$G$161=$I$3),ROWS($I$4:I78))),"")</f>
        <v/>
      </c>
      <c r="J78" s="2"/>
    </row>
    <row r="79" spans="1:10" ht="36" customHeight="1" x14ac:dyDescent="0.2">
      <c r="A79" s="16" t="str">
        <f>IFERROR(INDEX(Tickets!$A$2:$A$161,_xlfn.AGGREGATE(15,6,(ROW(Tickets!$G$2:$G$161)-ROW(Tickets!$G$2)+1)/(Tickets!$G$2:$G$161=$A$3),ROWS($A$4:A79)))&amp;" - "&amp;INDEX(Tickets!$E$2:$E$161,_xlfn.AGGREGATE(15,6,(ROW(Tickets!$G$2:$G$161)-ROW(Tickets!$G$2)+1)/(Tickets!$G$2:$G$161=$A$3),ROWS($A$4:A79))),"")</f>
        <v>WPT-086 - Create Employee profile API</v>
      </c>
      <c r="B79" s="2"/>
      <c r="C79" s="16" t="str">
        <f>IFERROR(INDEX(Tickets!$A$2:$A$161,_xlfn.AGGREGATE(15,6,(ROW(Tickets!$G$2:$G$161)-ROW(Tickets!$G$2)+1)/(Tickets!$G$2:$G$161=$C$3),ROWS($C$4:C79)))&amp;" - "&amp;INDEX(Tickets!$E$2:$E$161,_xlfn.AGGREGATE(15,6,(ROW(Tickets!$G$2:$G$161)-ROW(Tickets!$G$2)+1)/(Tickets!$G$2:$G$161=$C$3),ROWS($C$4:C79))),"")</f>
        <v/>
      </c>
      <c r="D79" s="2"/>
      <c r="E79" s="16" t="str">
        <f>IFERROR(INDEX(Tickets!$A$2:$A$161,_xlfn.AGGREGATE(15,6,(ROW(Tickets!$G$2:$G$161)-ROW(Tickets!$G$2)+1)/(Tickets!$G$2:$G$161=$E$3),ROWS($E$4:E79)))&amp;" - "&amp;INDEX(Tickets!$E$2:$E$161,_xlfn.AGGREGATE(15,6,(ROW(Tickets!$G$2:$G$161)-ROW(Tickets!$G$2)+1)/(Tickets!$G$2:$G$161=$E$3),ROWS($E$4:E79))),"")</f>
        <v/>
      </c>
      <c r="F79" s="2"/>
      <c r="G79" s="16" t="str">
        <f>IFERROR(INDEX(Tickets!$A$2:$A$161,_xlfn.AGGREGATE(15,6,(ROW(Tickets!$G$2:$G$161)-ROW(Tickets!$G$2)+1)/(Tickets!$G$2:$G$161=$G$3),ROWS($G$4:G79)))&amp;" - "&amp;INDEX(Tickets!$E$2:$E$161,_xlfn.AGGREGATE(15,6,(ROW(Tickets!$G$2:$G$161)-ROW(Tickets!$G$2)+1)/(Tickets!$G$2:$G$161=$G$3),ROWS($G$4:G79))),"")</f>
        <v/>
      </c>
      <c r="H79" s="2"/>
      <c r="I79" s="16" t="str">
        <f>IFERROR(INDEX(Tickets!$A$2:$A$161,_xlfn.AGGREGATE(15,6,(ROW(Tickets!$G$2:$G$161)-ROW(Tickets!$G$2)+1)/(Tickets!$G$2:$G$161=$I$3),ROWS($I$4:I79)))&amp;" - "&amp;INDEX(Tickets!$E$2:$E$161,_xlfn.AGGREGATE(15,6,(ROW(Tickets!$G$2:$G$161)-ROW(Tickets!$G$2)+1)/(Tickets!$G$2:$G$161=$I$3),ROWS($I$4:I79))),"")</f>
        <v/>
      </c>
      <c r="J79" s="2"/>
    </row>
    <row r="80" spans="1:10" ht="36" customHeight="1" x14ac:dyDescent="0.2">
      <c r="A80" s="16" t="str">
        <f>IFERROR(INDEX(Tickets!$A$2:$A$161,_xlfn.AGGREGATE(15,6,(ROW(Tickets!$G$2:$G$161)-ROW(Tickets!$G$2)+1)/(Tickets!$G$2:$G$161=$A$3),ROWS($A$4:A80)))&amp;" - "&amp;INDEX(Tickets!$E$2:$E$161,_xlfn.AGGREGATE(15,6,(ROW(Tickets!$G$2:$G$161)-ROW(Tickets!$G$2)+1)/(Tickets!$G$2:$G$161=$A$3),ROWS($A$4:A80))),"")</f>
        <v>WPT-087 - Employee home dashboard</v>
      </c>
      <c r="B80" s="2"/>
      <c r="C80" s="16" t="str">
        <f>IFERROR(INDEX(Tickets!$A$2:$A$161,_xlfn.AGGREGATE(15,6,(ROW(Tickets!$G$2:$G$161)-ROW(Tickets!$G$2)+1)/(Tickets!$G$2:$G$161=$C$3),ROWS($C$4:C80)))&amp;" - "&amp;INDEX(Tickets!$E$2:$E$161,_xlfn.AGGREGATE(15,6,(ROW(Tickets!$G$2:$G$161)-ROW(Tickets!$G$2)+1)/(Tickets!$G$2:$G$161=$C$3),ROWS($C$4:C80))),"")</f>
        <v/>
      </c>
      <c r="D80" s="2"/>
      <c r="E80" s="16" t="str">
        <f>IFERROR(INDEX(Tickets!$A$2:$A$161,_xlfn.AGGREGATE(15,6,(ROW(Tickets!$G$2:$G$161)-ROW(Tickets!$G$2)+1)/(Tickets!$G$2:$G$161=$E$3),ROWS($E$4:E80)))&amp;" - "&amp;INDEX(Tickets!$E$2:$E$161,_xlfn.AGGREGATE(15,6,(ROW(Tickets!$G$2:$G$161)-ROW(Tickets!$G$2)+1)/(Tickets!$G$2:$G$161=$E$3),ROWS($E$4:E80))),"")</f>
        <v/>
      </c>
      <c r="F80" s="2"/>
      <c r="G80" s="16" t="str">
        <f>IFERROR(INDEX(Tickets!$A$2:$A$161,_xlfn.AGGREGATE(15,6,(ROW(Tickets!$G$2:$G$161)-ROW(Tickets!$G$2)+1)/(Tickets!$G$2:$G$161=$G$3),ROWS($G$4:G80)))&amp;" - "&amp;INDEX(Tickets!$E$2:$E$161,_xlfn.AGGREGATE(15,6,(ROW(Tickets!$G$2:$G$161)-ROW(Tickets!$G$2)+1)/(Tickets!$G$2:$G$161=$G$3),ROWS($G$4:G80))),"")</f>
        <v/>
      </c>
      <c r="H80" s="2"/>
      <c r="I80" s="16" t="str">
        <f>IFERROR(INDEX(Tickets!$A$2:$A$161,_xlfn.AGGREGATE(15,6,(ROW(Tickets!$G$2:$G$161)-ROW(Tickets!$G$2)+1)/(Tickets!$G$2:$G$161=$I$3),ROWS($I$4:I80)))&amp;" - "&amp;INDEX(Tickets!$E$2:$E$161,_xlfn.AGGREGATE(15,6,(ROW(Tickets!$G$2:$G$161)-ROW(Tickets!$G$2)+1)/(Tickets!$G$2:$G$161=$I$3),ROWS($I$4:I80))),"")</f>
        <v/>
      </c>
      <c r="J80" s="2"/>
    </row>
    <row r="81" spans="1:10" ht="36" customHeight="1" x14ac:dyDescent="0.2">
      <c r="A81" s="16" t="str">
        <f>IFERROR(INDEX(Tickets!$A$2:$A$161,_xlfn.AGGREGATE(15,6,(ROW(Tickets!$G$2:$G$161)-ROW(Tickets!$G$2)+1)/(Tickets!$G$2:$G$161=$A$3),ROWS($A$4:A81)))&amp;" - "&amp;INDEX(Tickets!$E$2:$E$161,_xlfn.AGGREGATE(15,6,(ROW(Tickets!$G$2:$G$161)-ROW(Tickets!$G$2)+1)/(Tickets!$G$2:$G$161=$A$3),ROWS($A$4:A81))),"")</f>
        <v>WPT-088 - Show my applications summary</v>
      </c>
      <c r="B81" s="2"/>
      <c r="C81" s="16" t="str">
        <f>IFERROR(INDEX(Tickets!$A$2:$A$161,_xlfn.AGGREGATE(15,6,(ROW(Tickets!$G$2:$G$161)-ROW(Tickets!$G$2)+1)/(Tickets!$G$2:$G$161=$C$3),ROWS($C$4:C81)))&amp;" - "&amp;INDEX(Tickets!$E$2:$E$161,_xlfn.AGGREGATE(15,6,(ROW(Tickets!$G$2:$G$161)-ROW(Tickets!$G$2)+1)/(Tickets!$G$2:$G$161=$C$3),ROWS($C$4:C81))),"")</f>
        <v/>
      </c>
      <c r="D81" s="2"/>
      <c r="E81" s="16" t="str">
        <f>IFERROR(INDEX(Tickets!$A$2:$A$161,_xlfn.AGGREGATE(15,6,(ROW(Tickets!$G$2:$G$161)-ROW(Tickets!$G$2)+1)/(Tickets!$G$2:$G$161=$E$3),ROWS($E$4:E81)))&amp;" - "&amp;INDEX(Tickets!$E$2:$E$161,_xlfn.AGGREGATE(15,6,(ROW(Tickets!$G$2:$G$161)-ROW(Tickets!$G$2)+1)/(Tickets!$G$2:$G$161=$E$3),ROWS($E$4:E81))),"")</f>
        <v/>
      </c>
      <c r="F81" s="2"/>
      <c r="G81" s="16" t="str">
        <f>IFERROR(INDEX(Tickets!$A$2:$A$161,_xlfn.AGGREGATE(15,6,(ROW(Tickets!$G$2:$G$161)-ROW(Tickets!$G$2)+1)/(Tickets!$G$2:$G$161=$G$3),ROWS($G$4:G81)))&amp;" - "&amp;INDEX(Tickets!$E$2:$E$161,_xlfn.AGGREGATE(15,6,(ROW(Tickets!$G$2:$G$161)-ROW(Tickets!$G$2)+1)/(Tickets!$G$2:$G$161=$G$3),ROWS($G$4:G81))),"")</f>
        <v/>
      </c>
      <c r="H81" s="2"/>
      <c r="I81" s="16" t="str">
        <f>IFERROR(INDEX(Tickets!$A$2:$A$161,_xlfn.AGGREGATE(15,6,(ROW(Tickets!$G$2:$G$161)-ROW(Tickets!$G$2)+1)/(Tickets!$G$2:$G$161=$I$3),ROWS($I$4:I81)))&amp;" - "&amp;INDEX(Tickets!$E$2:$E$161,_xlfn.AGGREGATE(15,6,(ROW(Tickets!$G$2:$G$161)-ROW(Tickets!$G$2)+1)/(Tickets!$G$2:$G$161=$I$3),ROWS($I$4:I81))),"")</f>
        <v/>
      </c>
      <c r="J81" s="2"/>
    </row>
    <row r="82" spans="1:10" ht="36" customHeight="1" x14ac:dyDescent="0.2">
      <c r="A82" s="16" t="str">
        <f>IFERROR(INDEX(Tickets!$A$2:$A$161,_xlfn.AGGREGATE(15,6,(ROW(Tickets!$G$2:$G$161)-ROW(Tickets!$G$2)+1)/(Tickets!$G$2:$G$161=$A$3),ROWS($A$4:A82)))&amp;" - "&amp;INDEX(Tickets!$E$2:$E$161,_xlfn.AGGREGATE(15,6,(ROW(Tickets!$G$2:$G$161)-ROW(Tickets!$G$2)+1)/(Tickets!$G$2:$G$161=$A$3),ROWS($A$4:A82))),"")</f>
        <v>WPT-089 - Show event registration summary</v>
      </c>
      <c r="B82" s="2"/>
      <c r="C82" s="16" t="str">
        <f>IFERROR(INDEX(Tickets!$A$2:$A$161,_xlfn.AGGREGATE(15,6,(ROW(Tickets!$G$2:$G$161)-ROW(Tickets!$G$2)+1)/(Tickets!$G$2:$G$161=$C$3),ROWS($C$4:C82)))&amp;" - "&amp;INDEX(Tickets!$E$2:$E$161,_xlfn.AGGREGATE(15,6,(ROW(Tickets!$G$2:$G$161)-ROW(Tickets!$G$2)+1)/(Tickets!$G$2:$G$161=$C$3),ROWS($C$4:C82))),"")</f>
        <v/>
      </c>
      <c r="D82" s="2"/>
      <c r="E82" s="16" t="str">
        <f>IFERROR(INDEX(Tickets!$A$2:$A$161,_xlfn.AGGREGATE(15,6,(ROW(Tickets!$G$2:$G$161)-ROW(Tickets!$G$2)+1)/(Tickets!$G$2:$G$161=$E$3),ROWS($E$4:E82)))&amp;" - "&amp;INDEX(Tickets!$E$2:$E$161,_xlfn.AGGREGATE(15,6,(ROW(Tickets!$G$2:$G$161)-ROW(Tickets!$G$2)+1)/(Tickets!$G$2:$G$161=$E$3),ROWS($E$4:E82))),"")</f>
        <v/>
      </c>
      <c r="F82" s="2"/>
      <c r="G82" s="16" t="str">
        <f>IFERROR(INDEX(Tickets!$A$2:$A$161,_xlfn.AGGREGATE(15,6,(ROW(Tickets!$G$2:$G$161)-ROW(Tickets!$G$2)+1)/(Tickets!$G$2:$G$161=$G$3),ROWS($G$4:G82)))&amp;" - "&amp;INDEX(Tickets!$E$2:$E$161,_xlfn.AGGREGATE(15,6,(ROW(Tickets!$G$2:$G$161)-ROW(Tickets!$G$2)+1)/(Tickets!$G$2:$G$161=$G$3),ROWS($G$4:G82))),"")</f>
        <v/>
      </c>
      <c r="H82" s="2"/>
      <c r="I82" s="16" t="str">
        <f>IFERROR(INDEX(Tickets!$A$2:$A$161,_xlfn.AGGREGATE(15,6,(ROW(Tickets!$G$2:$G$161)-ROW(Tickets!$G$2)+1)/(Tickets!$G$2:$G$161=$I$3),ROWS($I$4:I82)))&amp;" - "&amp;INDEX(Tickets!$E$2:$E$161,_xlfn.AGGREGATE(15,6,(ROW(Tickets!$G$2:$G$161)-ROW(Tickets!$G$2)+1)/(Tickets!$G$2:$G$161=$I$3),ROWS($I$4:I82))),"")</f>
        <v/>
      </c>
      <c r="J82" s="2"/>
    </row>
    <row r="83" spans="1:10" ht="36" customHeight="1" x14ac:dyDescent="0.2">
      <c r="A83" s="16" t="str">
        <f>IFERROR(INDEX(Tickets!$A$2:$A$161,_xlfn.AGGREGATE(15,6,(ROW(Tickets!$G$2:$G$161)-ROW(Tickets!$G$2)+1)/(Tickets!$G$2:$G$161=$A$3),ROWS($A$4:A83)))&amp;" - "&amp;INDEX(Tickets!$E$2:$E$161,_xlfn.AGGREGATE(15,6,(ROW(Tickets!$G$2:$G$161)-ROW(Tickets!$G$2)+1)/(Tickets!$G$2:$G$161=$A$3),ROWS($A$4:A83))),"")</f>
        <v>WPT-090 - Show notifications summary</v>
      </c>
      <c r="B83" s="2"/>
      <c r="C83" s="16" t="str">
        <f>IFERROR(INDEX(Tickets!$A$2:$A$161,_xlfn.AGGREGATE(15,6,(ROW(Tickets!$G$2:$G$161)-ROW(Tickets!$G$2)+1)/(Tickets!$G$2:$G$161=$C$3),ROWS($C$4:C83)))&amp;" - "&amp;INDEX(Tickets!$E$2:$E$161,_xlfn.AGGREGATE(15,6,(ROW(Tickets!$G$2:$G$161)-ROW(Tickets!$G$2)+1)/(Tickets!$G$2:$G$161=$C$3),ROWS($C$4:C83))),"")</f>
        <v/>
      </c>
      <c r="D83" s="2"/>
      <c r="E83" s="16" t="str">
        <f>IFERROR(INDEX(Tickets!$A$2:$A$161,_xlfn.AGGREGATE(15,6,(ROW(Tickets!$G$2:$G$161)-ROW(Tickets!$G$2)+1)/(Tickets!$G$2:$G$161=$E$3),ROWS($E$4:E83)))&amp;" - "&amp;INDEX(Tickets!$E$2:$E$161,_xlfn.AGGREGATE(15,6,(ROW(Tickets!$G$2:$G$161)-ROW(Tickets!$G$2)+1)/(Tickets!$G$2:$G$161=$E$3),ROWS($E$4:E83))),"")</f>
        <v/>
      </c>
      <c r="F83" s="2"/>
      <c r="G83" s="16" t="str">
        <f>IFERROR(INDEX(Tickets!$A$2:$A$161,_xlfn.AGGREGATE(15,6,(ROW(Tickets!$G$2:$G$161)-ROW(Tickets!$G$2)+1)/(Tickets!$G$2:$G$161=$G$3),ROWS($G$4:G83)))&amp;" - "&amp;INDEX(Tickets!$E$2:$E$161,_xlfn.AGGREGATE(15,6,(ROW(Tickets!$G$2:$G$161)-ROW(Tickets!$G$2)+1)/(Tickets!$G$2:$G$161=$G$3),ROWS($G$4:G83))),"")</f>
        <v/>
      </c>
      <c r="H83" s="2"/>
      <c r="I83" s="16" t="str">
        <f>IFERROR(INDEX(Tickets!$A$2:$A$161,_xlfn.AGGREGATE(15,6,(ROW(Tickets!$G$2:$G$161)-ROW(Tickets!$G$2)+1)/(Tickets!$G$2:$G$161=$I$3),ROWS($I$4:I83)))&amp;" - "&amp;INDEX(Tickets!$E$2:$E$161,_xlfn.AGGREGATE(15,6,(ROW(Tickets!$G$2:$G$161)-ROW(Tickets!$G$2)+1)/(Tickets!$G$2:$G$161=$I$3),ROWS($I$4:I83))),"")</f>
        <v/>
      </c>
      <c r="J83" s="2"/>
    </row>
    <row r="84" spans="1:10" ht="36" customHeight="1" x14ac:dyDescent="0.2">
      <c r="A84" s="16" t="str">
        <f>IFERROR(INDEX(Tickets!$A$2:$A$161,_xlfn.AGGREGATE(15,6,(ROW(Tickets!$G$2:$G$161)-ROW(Tickets!$G$2)+1)/(Tickets!$G$2:$G$161=$A$3),ROWS($A$4:A84)))&amp;" - "&amp;INDEX(Tickets!$E$2:$E$161,_xlfn.AGGREGATE(15,6,(ROW(Tickets!$G$2:$G$161)-ROW(Tickets!$G$2)+1)/(Tickets!$G$2:$G$161=$A$3),ROWS($A$4:A84))),"")</f>
        <v>WPT-091 - Employee Job Dashboard and Applications</v>
      </c>
      <c r="B84" s="2"/>
      <c r="C84" s="16" t="str">
        <f>IFERROR(INDEX(Tickets!$A$2:$A$161,_xlfn.AGGREGATE(15,6,(ROW(Tickets!$G$2:$G$161)-ROW(Tickets!$G$2)+1)/(Tickets!$G$2:$G$161=$C$3),ROWS($C$4:C84)))&amp;" - "&amp;INDEX(Tickets!$E$2:$E$161,_xlfn.AGGREGATE(15,6,(ROW(Tickets!$G$2:$G$161)-ROW(Tickets!$G$2)+1)/(Tickets!$G$2:$G$161=$C$3),ROWS($C$4:C84))),"")</f>
        <v/>
      </c>
      <c r="D84" s="2"/>
      <c r="E84" s="16" t="str">
        <f>IFERROR(INDEX(Tickets!$A$2:$A$161,_xlfn.AGGREGATE(15,6,(ROW(Tickets!$G$2:$G$161)-ROW(Tickets!$G$2)+1)/(Tickets!$G$2:$G$161=$E$3),ROWS($E$4:E84)))&amp;" - "&amp;INDEX(Tickets!$E$2:$E$161,_xlfn.AGGREGATE(15,6,(ROW(Tickets!$G$2:$G$161)-ROW(Tickets!$G$2)+1)/(Tickets!$G$2:$G$161=$E$3),ROWS($E$4:E84))),"")</f>
        <v/>
      </c>
      <c r="F84" s="2"/>
      <c r="G84" s="16" t="str">
        <f>IFERROR(INDEX(Tickets!$A$2:$A$161,_xlfn.AGGREGATE(15,6,(ROW(Tickets!$G$2:$G$161)-ROW(Tickets!$G$2)+1)/(Tickets!$G$2:$G$161=$G$3),ROWS($G$4:G84)))&amp;" - "&amp;INDEX(Tickets!$E$2:$E$161,_xlfn.AGGREGATE(15,6,(ROW(Tickets!$G$2:$G$161)-ROW(Tickets!$G$2)+1)/(Tickets!$G$2:$G$161=$G$3),ROWS($G$4:G84))),"")</f>
        <v/>
      </c>
      <c r="H84" s="2"/>
      <c r="I84" s="16" t="str">
        <f>IFERROR(INDEX(Tickets!$A$2:$A$161,_xlfn.AGGREGATE(15,6,(ROW(Tickets!$G$2:$G$161)-ROW(Tickets!$G$2)+1)/(Tickets!$G$2:$G$161=$I$3),ROWS($I$4:I84)))&amp;" - "&amp;INDEX(Tickets!$E$2:$E$161,_xlfn.AGGREGATE(15,6,(ROW(Tickets!$G$2:$G$161)-ROW(Tickets!$G$2)+1)/(Tickets!$G$2:$G$161=$I$3),ROWS($I$4:I84))),"")</f>
        <v/>
      </c>
      <c r="J84" s="2"/>
    </row>
    <row r="85" spans="1:10" ht="36" customHeight="1" x14ac:dyDescent="0.2">
      <c r="A85" s="16" t="str">
        <f>IFERROR(INDEX(Tickets!$A$2:$A$161,_xlfn.AGGREGATE(15,6,(ROW(Tickets!$G$2:$G$161)-ROW(Tickets!$G$2)+1)/(Tickets!$G$2:$G$161=$A$3),ROWS($A$4:A85)))&amp;" - "&amp;INDEX(Tickets!$E$2:$E$161,_xlfn.AGGREGATE(15,6,(ROW(Tickets!$G$2:$G$161)-ROW(Tickets!$G$2)+1)/(Tickets!$G$2:$G$161=$A$3),ROWS($A$4:A85))),"")</f>
        <v>WPT-092 - Browse new job postings</v>
      </c>
      <c r="B85" s="2"/>
      <c r="C85" s="16" t="str">
        <f>IFERROR(INDEX(Tickets!$A$2:$A$161,_xlfn.AGGREGATE(15,6,(ROW(Tickets!$G$2:$G$161)-ROW(Tickets!$G$2)+1)/(Tickets!$G$2:$G$161=$C$3),ROWS($C$4:C85)))&amp;" - "&amp;INDEX(Tickets!$E$2:$E$161,_xlfn.AGGREGATE(15,6,(ROW(Tickets!$G$2:$G$161)-ROW(Tickets!$G$2)+1)/(Tickets!$G$2:$G$161=$C$3),ROWS($C$4:C85))),"")</f>
        <v/>
      </c>
      <c r="D85" s="2"/>
      <c r="E85" s="16" t="str">
        <f>IFERROR(INDEX(Tickets!$A$2:$A$161,_xlfn.AGGREGATE(15,6,(ROW(Tickets!$G$2:$G$161)-ROW(Tickets!$G$2)+1)/(Tickets!$G$2:$G$161=$E$3),ROWS($E$4:E85)))&amp;" - "&amp;INDEX(Tickets!$E$2:$E$161,_xlfn.AGGREGATE(15,6,(ROW(Tickets!$G$2:$G$161)-ROW(Tickets!$G$2)+1)/(Tickets!$G$2:$G$161=$E$3),ROWS($E$4:E85))),"")</f>
        <v/>
      </c>
      <c r="F85" s="2"/>
      <c r="G85" s="16" t="str">
        <f>IFERROR(INDEX(Tickets!$A$2:$A$161,_xlfn.AGGREGATE(15,6,(ROW(Tickets!$G$2:$G$161)-ROW(Tickets!$G$2)+1)/(Tickets!$G$2:$G$161=$G$3),ROWS($G$4:G85)))&amp;" - "&amp;INDEX(Tickets!$E$2:$E$161,_xlfn.AGGREGATE(15,6,(ROW(Tickets!$G$2:$G$161)-ROW(Tickets!$G$2)+1)/(Tickets!$G$2:$G$161=$G$3),ROWS($G$4:G85))),"")</f>
        <v/>
      </c>
      <c r="H85" s="2"/>
      <c r="I85" s="16" t="str">
        <f>IFERROR(INDEX(Tickets!$A$2:$A$161,_xlfn.AGGREGATE(15,6,(ROW(Tickets!$G$2:$G$161)-ROW(Tickets!$G$2)+1)/(Tickets!$G$2:$G$161=$I$3),ROWS($I$4:I85)))&amp;" - "&amp;INDEX(Tickets!$E$2:$E$161,_xlfn.AGGREGATE(15,6,(ROW(Tickets!$G$2:$G$161)-ROW(Tickets!$G$2)+1)/(Tickets!$G$2:$G$161=$I$3),ROWS($I$4:I85))),"")</f>
        <v/>
      </c>
      <c r="J85" s="2"/>
    </row>
    <row r="86" spans="1:10" ht="36" customHeight="1" x14ac:dyDescent="0.2">
      <c r="A86" s="16" t="str">
        <f>IFERROR(INDEX(Tickets!$A$2:$A$161,_xlfn.AGGREGATE(15,6,(ROW(Tickets!$G$2:$G$161)-ROW(Tickets!$G$2)+1)/(Tickets!$G$2:$G$161=$A$3),ROWS($A$4:A86)))&amp;" - "&amp;INDEX(Tickets!$E$2:$E$161,_xlfn.AGGREGATE(15,6,(ROW(Tickets!$G$2:$G$161)-ROW(Tickets!$G$2)+1)/(Tickets!$G$2:$G$161=$A$3),ROWS($A$4:A86))),"")</f>
        <v>WPT-093 - Create job listings page</v>
      </c>
      <c r="B86" s="2"/>
      <c r="C86" s="16" t="str">
        <f>IFERROR(INDEX(Tickets!$A$2:$A$161,_xlfn.AGGREGATE(15,6,(ROW(Tickets!$G$2:$G$161)-ROW(Tickets!$G$2)+1)/(Tickets!$G$2:$G$161=$C$3),ROWS($C$4:C86)))&amp;" - "&amp;INDEX(Tickets!$E$2:$E$161,_xlfn.AGGREGATE(15,6,(ROW(Tickets!$G$2:$G$161)-ROW(Tickets!$G$2)+1)/(Tickets!$G$2:$G$161=$C$3),ROWS($C$4:C86))),"")</f>
        <v/>
      </c>
      <c r="D86" s="2"/>
      <c r="E86" s="16" t="str">
        <f>IFERROR(INDEX(Tickets!$A$2:$A$161,_xlfn.AGGREGATE(15,6,(ROW(Tickets!$G$2:$G$161)-ROW(Tickets!$G$2)+1)/(Tickets!$G$2:$G$161=$E$3),ROWS($E$4:E86)))&amp;" - "&amp;INDEX(Tickets!$E$2:$E$161,_xlfn.AGGREGATE(15,6,(ROW(Tickets!$G$2:$G$161)-ROW(Tickets!$G$2)+1)/(Tickets!$G$2:$G$161=$E$3),ROWS($E$4:E86))),"")</f>
        <v/>
      </c>
      <c r="F86" s="2"/>
      <c r="G86" s="16" t="str">
        <f>IFERROR(INDEX(Tickets!$A$2:$A$161,_xlfn.AGGREGATE(15,6,(ROW(Tickets!$G$2:$G$161)-ROW(Tickets!$G$2)+1)/(Tickets!$G$2:$G$161=$G$3),ROWS($G$4:G86)))&amp;" - "&amp;INDEX(Tickets!$E$2:$E$161,_xlfn.AGGREGATE(15,6,(ROW(Tickets!$G$2:$G$161)-ROW(Tickets!$G$2)+1)/(Tickets!$G$2:$G$161=$G$3),ROWS($G$4:G86))),"")</f>
        <v/>
      </c>
      <c r="H86" s="2"/>
      <c r="I86" s="16" t="str">
        <f>IFERROR(INDEX(Tickets!$A$2:$A$161,_xlfn.AGGREGATE(15,6,(ROW(Tickets!$G$2:$G$161)-ROW(Tickets!$G$2)+1)/(Tickets!$G$2:$G$161=$I$3),ROWS($I$4:I86)))&amp;" - "&amp;INDEX(Tickets!$E$2:$E$161,_xlfn.AGGREGATE(15,6,(ROW(Tickets!$G$2:$G$161)-ROW(Tickets!$G$2)+1)/(Tickets!$G$2:$G$161=$I$3),ROWS($I$4:I86))),"")</f>
        <v/>
      </c>
      <c r="J86" s="2"/>
    </row>
    <row r="87" spans="1:10" ht="36" customHeight="1" x14ac:dyDescent="0.2">
      <c r="A87" s="16" t="str">
        <f>IFERROR(INDEX(Tickets!$A$2:$A$161,_xlfn.AGGREGATE(15,6,(ROW(Tickets!$G$2:$G$161)-ROW(Tickets!$G$2)+1)/(Tickets!$G$2:$G$161=$A$3),ROWS($A$4:A87)))&amp;" - "&amp;INDEX(Tickets!$E$2:$E$161,_xlfn.AGGREGATE(15,6,(ROW(Tickets!$G$2:$G$161)-ROW(Tickets!$G$2)+1)/(Tickets!$G$2:$G$161=$A$3),ROWS($A$4:A87))),"")</f>
        <v>WPT-094 - Create job search box</v>
      </c>
      <c r="B87" s="2"/>
      <c r="C87" s="16" t="str">
        <f>IFERROR(INDEX(Tickets!$A$2:$A$161,_xlfn.AGGREGATE(15,6,(ROW(Tickets!$G$2:$G$161)-ROW(Tickets!$G$2)+1)/(Tickets!$G$2:$G$161=$C$3),ROWS($C$4:C87)))&amp;" - "&amp;INDEX(Tickets!$E$2:$E$161,_xlfn.AGGREGATE(15,6,(ROW(Tickets!$G$2:$G$161)-ROW(Tickets!$G$2)+1)/(Tickets!$G$2:$G$161=$C$3),ROWS($C$4:C87))),"")</f>
        <v/>
      </c>
      <c r="D87" s="2"/>
      <c r="E87" s="16" t="str">
        <f>IFERROR(INDEX(Tickets!$A$2:$A$161,_xlfn.AGGREGATE(15,6,(ROW(Tickets!$G$2:$G$161)-ROW(Tickets!$G$2)+1)/(Tickets!$G$2:$G$161=$E$3),ROWS($E$4:E87)))&amp;" - "&amp;INDEX(Tickets!$E$2:$E$161,_xlfn.AGGREGATE(15,6,(ROW(Tickets!$G$2:$G$161)-ROW(Tickets!$G$2)+1)/(Tickets!$G$2:$G$161=$E$3),ROWS($E$4:E87))),"")</f>
        <v/>
      </c>
      <c r="F87" s="2"/>
      <c r="G87" s="16" t="str">
        <f>IFERROR(INDEX(Tickets!$A$2:$A$161,_xlfn.AGGREGATE(15,6,(ROW(Tickets!$G$2:$G$161)-ROW(Tickets!$G$2)+1)/(Tickets!$G$2:$G$161=$G$3),ROWS($G$4:G87)))&amp;" - "&amp;INDEX(Tickets!$E$2:$E$161,_xlfn.AGGREGATE(15,6,(ROW(Tickets!$G$2:$G$161)-ROW(Tickets!$G$2)+1)/(Tickets!$G$2:$G$161=$G$3),ROWS($G$4:G87))),"")</f>
        <v/>
      </c>
      <c r="H87" s="2"/>
      <c r="I87" s="16" t="str">
        <f>IFERROR(INDEX(Tickets!$A$2:$A$161,_xlfn.AGGREGATE(15,6,(ROW(Tickets!$G$2:$G$161)-ROW(Tickets!$G$2)+1)/(Tickets!$G$2:$G$161=$I$3),ROWS($I$4:I87)))&amp;" - "&amp;INDEX(Tickets!$E$2:$E$161,_xlfn.AGGREGATE(15,6,(ROW(Tickets!$G$2:$G$161)-ROW(Tickets!$G$2)+1)/(Tickets!$G$2:$G$161=$I$3),ROWS($I$4:I87))),"")</f>
        <v/>
      </c>
      <c r="J87" s="2"/>
    </row>
    <row r="88" spans="1:10" ht="36" customHeight="1" x14ac:dyDescent="0.2">
      <c r="A88" s="16" t="str">
        <f>IFERROR(INDEX(Tickets!$A$2:$A$161,_xlfn.AGGREGATE(15,6,(ROW(Tickets!$G$2:$G$161)-ROW(Tickets!$G$2)+1)/(Tickets!$G$2:$G$161=$A$3),ROWS($A$4:A88)))&amp;" - "&amp;INDEX(Tickets!$E$2:$E$161,_xlfn.AGGREGATE(15,6,(ROW(Tickets!$G$2:$G$161)-ROW(Tickets!$G$2)+1)/(Tickets!$G$2:$G$161=$A$3),ROWS($A$4:A88))),"")</f>
        <v>WPT-095 - Create job filters</v>
      </c>
      <c r="B88" s="2"/>
      <c r="C88" s="16" t="str">
        <f>IFERROR(INDEX(Tickets!$A$2:$A$161,_xlfn.AGGREGATE(15,6,(ROW(Tickets!$G$2:$G$161)-ROW(Tickets!$G$2)+1)/(Tickets!$G$2:$G$161=$C$3),ROWS($C$4:C88)))&amp;" - "&amp;INDEX(Tickets!$E$2:$E$161,_xlfn.AGGREGATE(15,6,(ROW(Tickets!$G$2:$G$161)-ROW(Tickets!$G$2)+1)/(Tickets!$G$2:$G$161=$C$3),ROWS($C$4:C88))),"")</f>
        <v/>
      </c>
      <c r="D88" s="2"/>
      <c r="E88" s="16" t="str">
        <f>IFERROR(INDEX(Tickets!$A$2:$A$161,_xlfn.AGGREGATE(15,6,(ROW(Tickets!$G$2:$G$161)-ROW(Tickets!$G$2)+1)/(Tickets!$G$2:$G$161=$E$3),ROWS($E$4:E88)))&amp;" - "&amp;INDEX(Tickets!$E$2:$E$161,_xlfn.AGGREGATE(15,6,(ROW(Tickets!$G$2:$G$161)-ROW(Tickets!$G$2)+1)/(Tickets!$G$2:$G$161=$E$3),ROWS($E$4:E88))),"")</f>
        <v/>
      </c>
      <c r="F88" s="2"/>
      <c r="G88" s="16" t="str">
        <f>IFERROR(INDEX(Tickets!$A$2:$A$161,_xlfn.AGGREGATE(15,6,(ROW(Tickets!$G$2:$G$161)-ROW(Tickets!$G$2)+1)/(Tickets!$G$2:$G$161=$G$3),ROWS($G$4:G88)))&amp;" - "&amp;INDEX(Tickets!$E$2:$E$161,_xlfn.AGGREGATE(15,6,(ROW(Tickets!$G$2:$G$161)-ROW(Tickets!$G$2)+1)/(Tickets!$G$2:$G$161=$G$3),ROWS($G$4:G88))),"")</f>
        <v/>
      </c>
      <c r="H88" s="2"/>
      <c r="I88" s="16" t="str">
        <f>IFERROR(INDEX(Tickets!$A$2:$A$161,_xlfn.AGGREGATE(15,6,(ROW(Tickets!$G$2:$G$161)-ROW(Tickets!$G$2)+1)/(Tickets!$G$2:$G$161=$I$3),ROWS($I$4:I88)))&amp;" - "&amp;INDEX(Tickets!$E$2:$E$161,_xlfn.AGGREGATE(15,6,(ROW(Tickets!$G$2:$G$161)-ROW(Tickets!$G$2)+1)/(Tickets!$G$2:$G$161=$I$3),ROWS($I$4:I88))),"")</f>
        <v/>
      </c>
      <c r="J88" s="2"/>
    </row>
    <row r="89" spans="1:10" ht="36" customHeight="1" x14ac:dyDescent="0.2">
      <c r="A89" s="16" t="str">
        <f>IFERROR(INDEX(Tickets!$A$2:$A$161,_xlfn.AGGREGATE(15,6,(ROW(Tickets!$G$2:$G$161)-ROW(Tickets!$G$2)+1)/(Tickets!$G$2:$G$161=$A$3),ROWS($A$4:A89)))&amp;" - "&amp;INDEX(Tickets!$E$2:$E$161,_xlfn.AGGREGATE(15,6,(ROW(Tickets!$G$2:$G$161)-ROW(Tickets!$G$2)+1)/(Tickets!$G$2:$G$161=$A$3),ROWS($A$4:A89))),"")</f>
        <v>WPT-096 - Create job description page</v>
      </c>
      <c r="B89" s="2"/>
      <c r="C89" s="16" t="str">
        <f>IFERROR(INDEX(Tickets!$A$2:$A$161,_xlfn.AGGREGATE(15,6,(ROW(Tickets!$G$2:$G$161)-ROW(Tickets!$G$2)+1)/(Tickets!$G$2:$G$161=$C$3),ROWS($C$4:C89)))&amp;" - "&amp;INDEX(Tickets!$E$2:$E$161,_xlfn.AGGREGATE(15,6,(ROW(Tickets!$G$2:$G$161)-ROW(Tickets!$G$2)+1)/(Tickets!$G$2:$G$161=$C$3),ROWS($C$4:C89))),"")</f>
        <v/>
      </c>
      <c r="D89" s="2"/>
      <c r="E89" s="16" t="str">
        <f>IFERROR(INDEX(Tickets!$A$2:$A$161,_xlfn.AGGREGATE(15,6,(ROW(Tickets!$G$2:$G$161)-ROW(Tickets!$G$2)+1)/(Tickets!$G$2:$G$161=$E$3),ROWS($E$4:E89)))&amp;" - "&amp;INDEX(Tickets!$E$2:$E$161,_xlfn.AGGREGATE(15,6,(ROW(Tickets!$G$2:$G$161)-ROW(Tickets!$G$2)+1)/(Tickets!$G$2:$G$161=$E$3),ROWS($E$4:E89))),"")</f>
        <v/>
      </c>
      <c r="F89" s="2"/>
      <c r="G89" s="16" t="str">
        <f>IFERROR(INDEX(Tickets!$A$2:$A$161,_xlfn.AGGREGATE(15,6,(ROW(Tickets!$G$2:$G$161)-ROW(Tickets!$G$2)+1)/(Tickets!$G$2:$G$161=$G$3),ROWS($G$4:G89)))&amp;" - "&amp;INDEX(Tickets!$E$2:$E$161,_xlfn.AGGREGATE(15,6,(ROW(Tickets!$G$2:$G$161)-ROW(Tickets!$G$2)+1)/(Tickets!$G$2:$G$161=$G$3),ROWS($G$4:G89))),"")</f>
        <v/>
      </c>
      <c r="H89" s="2"/>
      <c r="I89" s="16" t="str">
        <f>IFERROR(INDEX(Tickets!$A$2:$A$161,_xlfn.AGGREGATE(15,6,(ROW(Tickets!$G$2:$G$161)-ROW(Tickets!$G$2)+1)/(Tickets!$G$2:$G$161=$I$3),ROWS($I$4:I89)))&amp;" - "&amp;INDEX(Tickets!$E$2:$E$161,_xlfn.AGGREGATE(15,6,(ROW(Tickets!$G$2:$G$161)-ROW(Tickets!$G$2)+1)/(Tickets!$G$2:$G$161=$I$3),ROWS($I$4:I89))),"")</f>
        <v/>
      </c>
      <c r="J89" s="2"/>
    </row>
    <row r="90" spans="1:10" ht="36" customHeight="1" x14ac:dyDescent="0.2">
      <c r="A90" s="16" t="str">
        <f>IFERROR(INDEX(Tickets!$A$2:$A$161,_xlfn.AGGREGATE(15,6,(ROW(Tickets!$G$2:$G$161)-ROW(Tickets!$G$2)+1)/(Tickets!$G$2:$G$161=$A$3),ROWS($A$4:A90)))&amp;" - "&amp;INDEX(Tickets!$E$2:$E$161,_xlfn.AGGREGATE(15,6,(ROW(Tickets!$G$2:$G$161)-ROW(Tickets!$G$2)+1)/(Tickets!$G$2:$G$161=$A$3),ROWS($A$4:A90))),"")</f>
        <v>WPT-097 - Apply for a job</v>
      </c>
      <c r="B90" s="2"/>
      <c r="C90" s="16" t="str">
        <f>IFERROR(INDEX(Tickets!$A$2:$A$161,_xlfn.AGGREGATE(15,6,(ROW(Tickets!$G$2:$G$161)-ROW(Tickets!$G$2)+1)/(Tickets!$G$2:$G$161=$C$3),ROWS($C$4:C90)))&amp;" - "&amp;INDEX(Tickets!$E$2:$E$161,_xlfn.AGGREGATE(15,6,(ROW(Tickets!$G$2:$G$161)-ROW(Tickets!$G$2)+1)/(Tickets!$G$2:$G$161=$C$3),ROWS($C$4:C90))),"")</f>
        <v/>
      </c>
      <c r="D90" s="2"/>
      <c r="E90" s="16" t="str">
        <f>IFERROR(INDEX(Tickets!$A$2:$A$161,_xlfn.AGGREGATE(15,6,(ROW(Tickets!$G$2:$G$161)-ROW(Tickets!$G$2)+1)/(Tickets!$G$2:$G$161=$E$3),ROWS($E$4:E90)))&amp;" - "&amp;INDEX(Tickets!$E$2:$E$161,_xlfn.AGGREGATE(15,6,(ROW(Tickets!$G$2:$G$161)-ROW(Tickets!$G$2)+1)/(Tickets!$G$2:$G$161=$E$3),ROWS($E$4:E90))),"")</f>
        <v/>
      </c>
      <c r="F90" s="2"/>
      <c r="G90" s="16" t="str">
        <f>IFERROR(INDEX(Tickets!$A$2:$A$161,_xlfn.AGGREGATE(15,6,(ROW(Tickets!$G$2:$G$161)-ROW(Tickets!$G$2)+1)/(Tickets!$G$2:$G$161=$G$3),ROWS($G$4:G90)))&amp;" - "&amp;INDEX(Tickets!$E$2:$E$161,_xlfn.AGGREGATE(15,6,(ROW(Tickets!$G$2:$G$161)-ROW(Tickets!$G$2)+1)/(Tickets!$G$2:$G$161=$G$3),ROWS($G$4:G90))),"")</f>
        <v/>
      </c>
      <c r="H90" s="2"/>
      <c r="I90" s="16" t="str">
        <f>IFERROR(INDEX(Tickets!$A$2:$A$161,_xlfn.AGGREGATE(15,6,(ROW(Tickets!$G$2:$G$161)-ROW(Tickets!$G$2)+1)/(Tickets!$G$2:$G$161=$I$3),ROWS($I$4:I90)))&amp;" - "&amp;INDEX(Tickets!$E$2:$E$161,_xlfn.AGGREGATE(15,6,(ROW(Tickets!$G$2:$G$161)-ROW(Tickets!$G$2)+1)/(Tickets!$G$2:$G$161=$I$3),ROWS($I$4:I90))),"")</f>
        <v/>
      </c>
      <c r="J90" s="2"/>
    </row>
    <row r="91" spans="1:10" ht="36" customHeight="1" x14ac:dyDescent="0.2">
      <c r="A91" s="16" t="str">
        <f>IFERROR(INDEX(Tickets!$A$2:$A$161,_xlfn.AGGREGATE(15,6,(ROW(Tickets!$G$2:$G$161)-ROW(Tickets!$G$2)+1)/(Tickets!$G$2:$G$161=$A$3),ROWS($A$4:A91)))&amp;" - "&amp;INDEX(Tickets!$E$2:$E$161,_xlfn.AGGREGATE(15,6,(ROW(Tickets!$G$2:$G$161)-ROW(Tickets!$G$2)+1)/(Tickets!$G$2:$G$161=$A$3),ROWS($A$4:A91))),"")</f>
        <v>WPT-098 - Create apply button and flow</v>
      </c>
      <c r="B91" s="2"/>
      <c r="C91" s="16" t="str">
        <f>IFERROR(INDEX(Tickets!$A$2:$A$161,_xlfn.AGGREGATE(15,6,(ROW(Tickets!$G$2:$G$161)-ROW(Tickets!$G$2)+1)/(Tickets!$G$2:$G$161=$C$3),ROWS($C$4:C91)))&amp;" - "&amp;INDEX(Tickets!$E$2:$E$161,_xlfn.AGGREGATE(15,6,(ROW(Tickets!$G$2:$G$161)-ROW(Tickets!$G$2)+1)/(Tickets!$G$2:$G$161=$C$3),ROWS($C$4:C91))),"")</f>
        <v/>
      </c>
      <c r="D91" s="2"/>
      <c r="E91" s="16" t="str">
        <f>IFERROR(INDEX(Tickets!$A$2:$A$161,_xlfn.AGGREGATE(15,6,(ROW(Tickets!$G$2:$G$161)-ROW(Tickets!$G$2)+1)/(Tickets!$G$2:$G$161=$E$3),ROWS($E$4:E91)))&amp;" - "&amp;INDEX(Tickets!$E$2:$E$161,_xlfn.AGGREGATE(15,6,(ROW(Tickets!$G$2:$G$161)-ROW(Tickets!$G$2)+1)/(Tickets!$G$2:$G$161=$E$3),ROWS($E$4:E91))),"")</f>
        <v/>
      </c>
      <c r="F91" s="2"/>
      <c r="G91" s="16" t="str">
        <f>IFERROR(INDEX(Tickets!$A$2:$A$161,_xlfn.AGGREGATE(15,6,(ROW(Tickets!$G$2:$G$161)-ROW(Tickets!$G$2)+1)/(Tickets!$G$2:$G$161=$G$3),ROWS($G$4:G91)))&amp;" - "&amp;INDEX(Tickets!$E$2:$E$161,_xlfn.AGGREGATE(15,6,(ROW(Tickets!$G$2:$G$161)-ROW(Tickets!$G$2)+1)/(Tickets!$G$2:$G$161=$G$3),ROWS($G$4:G91))),"")</f>
        <v/>
      </c>
      <c r="H91" s="2"/>
      <c r="I91" s="16" t="str">
        <f>IFERROR(INDEX(Tickets!$A$2:$A$161,_xlfn.AGGREGATE(15,6,(ROW(Tickets!$G$2:$G$161)-ROW(Tickets!$G$2)+1)/(Tickets!$G$2:$G$161=$I$3),ROWS($I$4:I91)))&amp;" - "&amp;INDEX(Tickets!$E$2:$E$161,_xlfn.AGGREGATE(15,6,(ROW(Tickets!$G$2:$G$161)-ROW(Tickets!$G$2)+1)/(Tickets!$G$2:$G$161=$I$3),ROWS($I$4:I91))),"")</f>
        <v/>
      </c>
      <c r="J91" s="2"/>
    </row>
    <row r="92" spans="1:10" ht="36" customHeight="1" x14ac:dyDescent="0.2">
      <c r="A92" s="16" t="str">
        <f>IFERROR(INDEX(Tickets!$A$2:$A$161,_xlfn.AGGREGATE(15,6,(ROW(Tickets!$G$2:$G$161)-ROW(Tickets!$G$2)+1)/(Tickets!$G$2:$G$161=$A$3),ROWS($A$4:A92)))&amp;" - "&amp;INDEX(Tickets!$E$2:$E$161,_xlfn.AGGREGATE(15,6,(ROW(Tickets!$G$2:$G$161)-ROW(Tickets!$G$2)+1)/(Tickets!$G$2:$G$161=$A$3),ROWS($A$4:A92))),"")</f>
        <v>WPT-099 - Allow apply using existing profile</v>
      </c>
      <c r="B92" s="2"/>
      <c r="C92" s="16" t="str">
        <f>IFERROR(INDEX(Tickets!$A$2:$A$161,_xlfn.AGGREGATE(15,6,(ROW(Tickets!$G$2:$G$161)-ROW(Tickets!$G$2)+1)/(Tickets!$G$2:$G$161=$C$3),ROWS($C$4:C92)))&amp;" - "&amp;INDEX(Tickets!$E$2:$E$161,_xlfn.AGGREGATE(15,6,(ROW(Tickets!$G$2:$G$161)-ROW(Tickets!$G$2)+1)/(Tickets!$G$2:$G$161=$C$3),ROWS($C$4:C92))),"")</f>
        <v/>
      </c>
      <c r="D92" s="2"/>
      <c r="E92" s="16" t="str">
        <f>IFERROR(INDEX(Tickets!$A$2:$A$161,_xlfn.AGGREGATE(15,6,(ROW(Tickets!$G$2:$G$161)-ROW(Tickets!$G$2)+1)/(Tickets!$G$2:$G$161=$E$3),ROWS($E$4:E92)))&amp;" - "&amp;INDEX(Tickets!$E$2:$E$161,_xlfn.AGGREGATE(15,6,(ROW(Tickets!$G$2:$G$161)-ROW(Tickets!$G$2)+1)/(Tickets!$G$2:$G$161=$E$3),ROWS($E$4:E92))),"")</f>
        <v/>
      </c>
      <c r="F92" s="2"/>
      <c r="G92" s="16" t="str">
        <f>IFERROR(INDEX(Tickets!$A$2:$A$161,_xlfn.AGGREGATE(15,6,(ROW(Tickets!$G$2:$G$161)-ROW(Tickets!$G$2)+1)/(Tickets!$G$2:$G$161=$G$3),ROWS($G$4:G92)))&amp;" - "&amp;INDEX(Tickets!$E$2:$E$161,_xlfn.AGGREGATE(15,6,(ROW(Tickets!$G$2:$G$161)-ROW(Tickets!$G$2)+1)/(Tickets!$G$2:$G$161=$G$3),ROWS($G$4:G92))),"")</f>
        <v/>
      </c>
      <c r="H92" s="2"/>
      <c r="I92" s="16" t="str">
        <f>IFERROR(INDEX(Tickets!$A$2:$A$161,_xlfn.AGGREGATE(15,6,(ROW(Tickets!$G$2:$G$161)-ROW(Tickets!$G$2)+1)/(Tickets!$G$2:$G$161=$I$3),ROWS($I$4:I92)))&amp;" - "&amp;INDEX(Tickets!$E$2:$E$161,_xlfn.AGGREGATE(15,6,(ROW(Tickets!$G$2:$G$161)-ROW(Tickets!$G$2)+1)/(Tickets!$G$2:$G$161=$I$3),ROWS($I$4:I92))),"")</f>
        <v/>
      </c>
      <c r="J92" s="2"/>
    </row>
    <row r="93" spans="1:10" ht="36" customHeight="1" x14ac:dyDescent="0.2">
      <c r="A93" s="16" t="str">
        <f>IFERROR(INDEX(Tickets!$A$2:$A$161,_xlfn.AGGREGATE(15,6,(ROW(Tickets!$G$2:$G$161)-ROW(Tickets!$G$2)+1)/(Tickets!$G$2:$G$161=$A$3),ROWS($A$4:A93)))&amp;" - "&amp;INDEX(Tickets!$E$2:$E$161,_xlfn.AGGREGATE(15,6,(ROW(Tickets!$G$2:$G$161)-ROW(Tickets!$G$2)+1)/(Tickets!$G$2:$G$161=$A$3),ROWS($A$4:A93))),"")</f>
        <v>WPT-100 - Allow apply by filling application form</v>
      </c>
      <c r="B93" s="2"/>
      <c r="C93" s="16" t="str">
        <f>IFERROR(INDEX(Tickets!$A$2:$A$161,_xlfn.AGGREGATE(15,6,(ROW(Tickets!$G$2:$G$161)-ROW(Tickets!$G$2)+1)/(Tickets!$G$2:$G$161=$C$3),ROWS($C$4:C93)))&amp;" - "&amp;INDEX(Tickets!$E$2:$E$161,_xlfn.AGGREGATE(15,6,(ROW(Tickets!$G$2:$G$161)-ROW(Tickets!$G$2)+1)/(Tickets!$G$2:$G$161=$C$3),ROWS($C$4:C93))),"")</f>
        <v/>
      </c>
      <c r="D93" s="2"/>
      <c r="E93" s="16" t="str">
        <f>IFERROR(INDEX(Tickets!$A$2:$A$161,_xlfn.AGGREGATE(15,6,(ROW(Tickets!$G$2:$G$161)-ROW(Tickets!$G$2)+1)/(Tickets!$G$2:$G$161=$E$3),ROWS($E$4:E93)))&amp;" - "&amp;INDEX(Tickets!$E$2:$E$161,_xlfn.AGGREGATE(15,6,(ROW(Tickets!$G$2:$G$161)-ROW(Tickets!$G$2)+1)/(Tickets!$G$2:$G$161=$E$3),ROWS($E$4:E93))),"")</f>
        <v/>
      </c>
      <c r="F93" s="2"/>
      <c r="G93" s="16" t="str">
        <f>IFERROR(INDEX(Tickets!$A$2:$A$161,_xlfn.AGGREGATE(15,6,(ROW(Tickets!$G$2:$G$161)-ROW(Tickets!$G$2)+1)/(Tickets!$G$2:$G$161=$G$3),ROWS($G$4:G93)))&amp;" - "&amp;INDEX(Tickets!$E$2:$E$161,_xlfn.AGGREGATE(15,6,(ROW(Tickets!$G$2:$G$161)-ROW(Tickets!$G$2)+1)/(Tickets!$G$2:$G$161=$G$3),ROWS($G$4:G93))),"")</f>
        <v/>
      </c>
      <c r="H93" s="2"/>
      <c r="I93" s="16" t="str">
        <f>IFERROR(INDEX(Tickets!$A$2:$A$161,_xlfn.AGGREGATE(15,6,(ROW(Tickets!$G$2:$G$161)-ROW(Tickets!$G$2)+1)/(Tickets!$G$2:$G$161=$I$3),ROWS($I$4:I93)))&amp;" - "&amp;INDEX(Tickets!$E$2:$E$161,_xlfn.AGGREGATE(15,6,(ROW(Tickets!$G$2:$G$161)-ROW(Tickets!$G$2)+1)/(Tickets!$G$2:$G$161=$I$3),ROWS($I$4:I93))),"")</f>
        <v/>
      </c>
      <c r="J93" s="2"/>
    </row>
    <row r="94" spans="1:10" ht="36" customHeight="1" x14ac:dyDescent="0.2">
      <c r="A94" s="16" t="str">
        <f>IFERROR(INDEX(Tickets!$A$2:$A$161,_xlfn.AGGREGATE(15,6,(ROW(Tickets!$G$2:$G$161)-ROW(Tickets!$G$2)+1)/(Tickets!$G$2:$G$161=$A$3),ROWS($A$4:A94)))&amp;" - "&amp;INDEX(Tickets!$E$2:$E$161,_xlfn.AGGREGATE(15,6,(ROW(Tickets!$G$2:$G$161)-ROW(Tickets!$G$2)+1)/(Tickets!$G$2:$G$161=$A$3),ROWS($A$4:A94))),"")</f>
        <v>WPT-101 - Allow resume upload during application</v>
      </c>
      <c r="B94" s="2"/>
      <c r="C94" s="16" t="str">
        <f>IFERROR(INDEX(Tickets!$A$2:$A$161,_xlfn.AGGREGATE(15,6,(ROW(Tickets!$G$2:$G$161)-ROW(Tickets!$G$2)+1)/(Tickets!$G$2:$G$161=$C$3),ROWS($C$4:C94)))&amp;" - "&amp;INDEX(Tickets!$E$2:$E$161,_xlfn.AGGREGATE(15,6,(ROW(Tickets!$G$2:$G$161)-ROW(Tickets!$G$2)+1)/(Tickets!$G$2:$G$161=$C$3),ROWS($C$4:C94))),"")</f>
        <v/>
      </c>
      <c r="D94" s="2"/>
      <c r="E94" s="16" t="str">
        <f>IFERROR(INDEX(Tickets!$A$2:$A$161,_xlfn.AGGREGATE(15,6,(ROW(Tickets!$G$2:$G$161)-ROW(Tickets!$G$2)+1)/(Tickets!$G$2:$G$161=$E$3),ROWS($E$4:E94)))&amp;" - "&amp;INDEX(Tickets!$E$2:$E$161,_xlfn.AGGREGATE(15,6,(ROW(Tickets!$G$2:$G$161)-ROW(Tickets!$G$2)+1)/(Tickets!$G$2:$G$161=$E$3),ROWS($E$4:E94))),"")</f>
        <v/>
      </c>
      <c r="F94" s="2"/>
      <c r="G94" s="16" t="str">
        <f>IFERROR(INDEX(Tickets!$A$2:$A$161,_xlfn.AGGREGATE(15,6,(ROW(Tickets!$G$2:$G$161)-ROW(Tickets!$G$2)+1)/(Tickets!$G$2:$G$161=$G$3),ROWS($G$4:G94)))&amp;" - "&amp;INDEX(Tickets!$E$2:$E$161,_xlfn.AGGREGATE(15,6,(ROW(Tickets!$G$2:$G$161)-ROW(Tickets!$G$2)+1)/(Tickets!$G$2:$G$161=$G$3),ROWS($G$4:G94))),"")</f>
        <v/>
      </c>
      <c r="H94" s="2"/>
      <c r="I94" s="16" t="str">
        <f>IFERROR(INDEX(Tickets!$A$2:$A$161,_xlfn.AGGREGATE(15,6,(ROW(Tickets!$G$2:$G$161)-ROW(Tickets!$G$2)+1)/(Tickets!$G$2:$G$161=$I$3),ROWS($I$4:I94)))&amp;" - "&amp;INDEX(Tickets!$E$2:$E$161,_xlfn.AGGREGATE(15,6,(ROW(Tickets!$G$2:$G$161)-ROW(Tickets!$G$2)+1)/(Tickets!$G$2:$G$161=$I$3),ROWS($I$4:I94))),"")</f>
        <v/>
      </c>
      <c r="J94" s="2"/>
    </row>
    <row r="95" spans="1:10" ht="36" customHeight="1" x14ac:dyDescent="0.2">
      <c r="A95" s="16" t="str">
        <f>IFERROR(INDEX(Tickets!$A$2:$A$161,_xlfn.AGGREGATE(15,6,(ROW(Tickets!$G$2:$G$161)-ROW(Tickets!$G$2)+1)/(Tickets!$G$2:$G$161=$A$3),ROWS($A$4:A95)))&amp;" - "&amp;INDEX(Tickets!$E$2:$E$161,_xlfn.AGGREGATE(15,6,(ROW(Tickets!$G$2:$G$161)-ROW(Tickets!$G$2)+1)/(Tickets!$G$2:$G$161=$A$3),ROWS($A$4:A95))),"")</f>
        <v>WPT-102 - Create submit application API</v>
      </c>
      <c r="B95" s="2"/>
      <c r="C95" s="16" t="str">
        <f>IFERROR(INDEX(Tickets!$A$2:$A$161,_xlfn.AGGREGATE(15,6,(ROW(Tickets!$G$2:$G$161)-ROW(Tickets!$G$2)+1)/(Tickets!$G$2:$G$161=$C$3),ROWS($C$4:C95)))&amp;" - "&amp;INDEX(Tickets!$E$2:$E$161,_xlfn.AGGREGATE(15,6,(ROW(Tickets!$G$2:$G$161)-ROW(Tickets!$G$2)+1)/(Tickets!$G$2:$G$161=$C$3),ROWS($C$4:C95))),"")</f>
        <v/>
      </c>
      <c r="D95" s="2"/>
      <c r="E95" s="16" t="str">
        <f>IFERROR(INDEX(Tickets!$A$2:$A$161,_xlfn.AGGREGATE(15,6,(ROW(Tickets!$G$2:$G$161)-ROW(Tickets!$G$2)+1)/(Tickets!$G$2:$G$161=$E$3),ROWS($E$4:E95)))&amp;" - "&amp;INDEX(Tickets!$E$2:$E$161,_xlfn.AGGREGATE(15,6,(ROW(Tickets!$G$2:$G$161)-ROW(Tickets!$G$2)+1)/(Tickets!$G$2:$G$161=$E$3),ROWS($E$4:E95))),"")</f>
        <v/>
      </c>
      <c r="F95" s="2"/>
      <c r="G95" s="16" t="str">
        <f>IFERROR(INDEX(Tickets!$A$2:$A$161,_xlfn.AGGREGATE(15,6,(ROW(Tickets!$G$2:$G$161)-ROW(Tickets!$G$2)+1)/(Tickets!$G$2:$G$161=$G$3),ROWS($G$4:G95)))&amp;" - "&amp;INDEX(Tickets!$E$2:$E$161,_xlfn.AGGREGATE(15,6,(ROW(Tickets!$G$2:$G$161)-ROW(Tickets!$G$2)+1)/(Tickets!$G$2:$G$161=$G$3),ROWS($G$4:G95))),"")</f>
        <v/>
      </c>
      <c r="H95" s="2"/>
      <c r="I95" s="16" t="str">
        <f>IFERROR(INDEX(Tickets!$A$2:$A$161,_xlfn.AGGREGATE(15,6,(ROW(Tickets!$G$2:$G$161)-ROW(Tickets!$G$2)+1)/(Tickets!$G$2:$G$161=$I$3),ROWS($I$4:I95)))&amp;" - "&amp;INDEX(Tickets!$E$2:$E$161,_xlfn.AGGREGATE(15,6,(ROW(Tickets!$G$2:$G$161)-ROW(Tickets!$G$2)+1)/(Tickets!$G$2:$G$161=$I$3),ROWS($I$4:I95))),"")</f>
        <v/>
      </c>
      <c r="J95" s="2"/>
    </row>
    <row r="96" spans="1:10" ht="36" customHeight="1" x14ac:dyDescent="0.2">
      <c r="A96" s="16" t="str">
        <f>IFERROR(INDEX(Tickets!$A$2:$A$161,_xlfn.AGGREGATE(15,6,(ROW(Tickets!$G$2:$G$161)-ROW(Tickets!$G$2)+1)/(Tickets!$G$2:$G$161=$A$3),ROWS($A$4:A96)))&amp;" - "&amp;INDEX(Tickets!$E$2:$E$161,_xlfn.AGGREGATE(15,6,(ROW(Tickets!$G$2:$G$161)-ROW(Tickets!$G$2)+1)/(Tickets!$G$2:$G$161=$A$3),ROWS($A$4:A96))),"")</f>
        <v>WPT-103 - Track my applications</v>
      </c>
      <c r="B96" s="2"/>
      <c r="C96" s="16" t="str">
        <f>IFERROR(INDEX(Tickets!$A$2:$A$161,_xlfn.AGGREGATE(15,6,(ROW(Tickets!$G$2:$G$161)-ROW(Tickets!$G$2)+1)/(Tickets!$G$2:$G$161=$C$3),ROWS($C$4:C96)))&amp;" - "&amp;INDEX(Tickets!$E$2:$E$161,_xlfn.AGGREGATE(15,6,(ROW(Tickets!$G$2:$G$161)-ROW(Tickets!$G$2)+1)/(Tickets!$G$2:$G$161=$C$3),ROWS($C$4:C96))),"")</f>
        <v/>
      </c>
      <c r="D96" s="2"/>
      <c r="E96" s="16" t="str">
        <f>IFERROR(INDEX(Tickets!$A$2:$A$161,_xlfn.AGGREGATE(15,6,(ROW(Tickets!$G$2:$G$161)-ROW(Tickets!$G$2)+1)/(Tickets!$G$2:$G$161=$E$3),ROWS($E$4:E96)))&amp;" - "&amp;INDEX(Tickets!$E$2:$E$161,_xlfn.AGGREGATE(15,6,(ROW(Tickets!$G$2:$G$161)-ROW(Tickets!$G$2)+1)/(Tickets!$G$2:$G$161=$E$3),ROWS($E$4:E96))),"")</f>
        <v/>
      </c>
      <c r="F96" s="2"/>
      <c r="G96" s="16" t="str">
        <f>IFERROR(INDEX(Tickets!$A$2:$A$161,_xlfn.AGGREGATE(15,6,(ROW(Tickets!$G$2:$G$161)-ROW(Tickets!$G$2)+1)/(Tickets!$G$2:$G$161=$G$3),ROWS($G$4:G96)))&amp;" - "&amp;INDEX(Tickets!$E$2:$E$161,_xlfn.AGGREGATE(15,6,(ROW(Tickets!$G$2:$G$161)-ROW(Tickets!$G$2)+1)/(Tickets!$G$2:$G$161=$G$3),ROWS($G$4:G96))),"")</f>
        <v/>
      </c>
      <c r="H96" s="2"/>
      <c r="I96" s="16" t="str">
        <f>IFERROR(INDEX(Tickets!$A$2:$A$161,_xlfn.AGGREGATE(15,6,(ROW(Tickets!$G$2:$G$161)-ROW(Tickets!$G$2)+1)/(Tickets!$G$2:$G$161=$I$3),ROWS($I$4:I96)))&amp;" - "&amp;INDEX(Tickets!$E$2:$E$161,_xlfn.AGGREGATE(15,6,(ROW(Tickets!$G$2:$G$161)-ROW(Tickets!$G$2)+1)/(Tickets!$G$2:$G$161=$I$3),ROWS($I$4:I96))),"")</f>
        <v/>
      </c>
      <c r="J96" s="2"/>
    </row>
    <row r="97" spans="1:10" ht="36" customHeight="1" x14ac:dyDescent="0.2">
      <c r="A97" s="16" t="str">
        <f>IFERROR(INDEX(Tickets!$A$2:$A$161,_xlfn.AGGREGATE(15,6,(ROW(Tickets!$G$2:$G$161)-ROW(Tickets!$G$2)+1)/(Tickets!$G$2:$G$161=$A$3),ROWS($A$4:A97)))&amp;" - "&amp;INDEX(Tickets!$E$2:$E$161,_xlfn.AGGREGATE(15,6,(ROW(Tickets!$G$2:$G$161)-ROW(Tickets!$G$2)+1)/(Tickets!$G$2:$G$161=$A$3),ROWS($A$4:A97))),"")</f>
        <v>WPT-104 - Create my applications tab</v>
      </c>
      <c r="B97" s="2"/>
      <c r="C97" s="16" t="str">
        <f>IFERROR(INDEX(Tickets!$A$2:$A$161,_xlfn.AGGREGATE(15,6,(ROW(Tickets!$G$2:$G$161)-ROW(Tickets!$G$2)+1)/(Tickets!$G$2:$G$161=$C$3),ROWS($C$4:C97)))&amp;" - "&amp;INDEX(Tickets!$E$2:$E$161,_xlfn.AGGREGATE(15,6,(ROW(Tickets!$G$2:$G$161)-ROW(Tickets!$G$2)+1)/(Tickets!$G$2:$G$161=$C$3),ROWS($C$4:C97))),"")</f>
        <v/>
      </c>
      <c r="D97" s="2"/>
      <c r="E97" s="16" t="str">
        <f>IFERROR(INDEX(Tickets!$A$2:$A$161,_xlfn.AGGREGATE(15,6,(ROW(Tickets!$G$2:$G$161)-ROW(Tickets!$G$2)+1)/(Tickets!$G$2:$G$161=$E$3),ROWS($E$4:E97)))&amp;" - "&amp;INDEX(Tickets!$E$2:$E$161,_xlfn.AGGREGATE(15,6,(ROW(Tickets!$G$2:$G$161)-ROW(Tickets!$G$2)+1)/(Tickets!$G$2:$G$161=$E$3),ROWS($E$4:E97))),"")</f>
        <v/>
      </c>
      <c r="F97" s="2"/>
      <c r="G97" s="16" t="str">
        <f>IFERROR(INDEX(Tickets!$A$2:$A$161,_xlfn.AGGREGATE(15,6,(ROW(Tickets!$G$2:$G$161)-ROW(Tickets!$G$2)+1)/(Tickets!$G$2:$G$161=$G$3),ROWS($G$4:G97)))&amp;" - "&amp;INDEX(Tickets!$E$2:$E$161,_xlfn.AGGREGATE(15,6,(ROW(Tickets!$G$2:$G$161)-ROW(Tickets!$G$2)+1)/(Tickets!$G$2:$G$161=$G$3),ROWS($G$4:G97))),"")</f>
        <v/>
      </c>
      <c r="H97" s="2"/>
      <c r="I97" s="16" t="str">
        <f>IFERROR(INDEX(Tickets!$A$2:$A$161,_xlfn.AGGREGATE(15,6,(ROW(Tickets!$G$2:$G$161)-ROW(Tickets!$G$2)+1)/(Tickets!$G$2:$G$161=$I$3),ROWS($I$4:I97)))&amp;" - "&amp;INDEX(Tickets!$E$2:$E$161,_xlfn.AGGREGATE(15,6,(ROW(Tickets!$G$2:$G$161)-ROW(Tickets!$G$2)+1)/(Tickets!$G$2:$G$161=$I$3),ROWS($I$4:I97))),"")</f>
        <v/>
      </c>
      <c r="J97" s="2"/>
    </row>
    <row r="98" spans="1:10" ht="36" customHeight="1" x14ac:dyDescent="0.2">
      <c r="A98" s="16" t="str">
        <f>IFERROR(INDEX(Tickets!$A$2:$A$161,_xlfn.AGGREGATE(15,6,(ROW(Tickets!$G$2:$G$161)-ROW(Tickets!$G$2)+1)/(Tickets!$G$2:$G$161=$A$3),ROWS($A$4:A98)))&amp;" - "&amp;INDEX(Tickets!$E$2:$E$161,_xlfn.AGGREGATE(15,6,(ROW(Tickets!$G$2:$G$161)-ROW(Tickets!$G$2)+1)/(Tickets!$G$2:$G$161=$A$3),ROWS($A$4:A98))),"")</f>
        <v>WPT-105 - Display application status</v>
      </c>
      <c r="B98" s="2"/>
      <c r="C98" s="16" t="str">
        <f>IFERROR(INDEX(Tickets!$A$2:$A$161,_xlfn.AGGREGATE(15,6,(ROW(Tickets!$G$2:$G$161)-ROW(Tickets!$G$2)+1)/(Tickets!$G$2:$G$161=$C$3),ROWS($C$4:C98)))&amp;" - "&amp;INDEX(Tickets!$E$2:$E$161,_xlfn.AGGREGATE(15,6,(ROW(Tickets!$G$2:$G$161)-ROW(Tickets!$G$2)+1)/(Tickets!$G$2:$G$161=$C$3),ROWS($C$4:C98))),"")</f>
        <v/>
      </c>
      <c r="D98" s="2"/>
      <c r="E98" s="16" t="str">
        <f>IFERROR(INDEX(Tickets!$A$2:$A$161,_xlfn.AGGREGATE(15,6,(ROW(Tickets!$G$2:$G$161)-ROW(Tickets!$G$2)+1)/(Tickets!$G$2:$G$161=$E$3),ROWS($E$4:E98)))&amp;" - "&amp;INDEX(Tickets!$E$2:$E$161,_xlfn.AGGREGATE(15,6,(ROW(Tickets!$G$2:$G$161)-ROW(Tickets!$G$2)+1)/(Tickets!$G$2:$G$161=$E$3),ROWS($E$4:E98))),"")</f>
        <v/>
      </c>
      <c r="F98" s="2"/>
      <c r="G98" s="16" t="str">
        <f>IFERROR(INDEX(Tickets!$A$2:$A$161,_xlfn.AGGREGATE(15,6,(ROW(Tickets!$G$2:$G$161)-ROW(Tickets!$G$2)+1)/(Tickets!$G$2:$G$161=$G$3),ROWS($G$4:G98)))&amp;" - "&amp;INDEX(Tickets!$E$2:$E$161,_xlfn.AGGREGATE(15,6,(ROW(Tickets!$G$2:$G$161)-ROW(Tickets!$G$2)+1)/(Tickets!$G$2:$G$161=$G$3),ROWS($G$4:G98))),"")</f>
        <v/>
      </c>
      <c r="H98" s="2"/>
      <c r="I98" s="16" t="str">
        <f>IFERROR(INDEX(Tickets!$A$2:$A$161,_xlfn.AGGREGATE(15,6,(ROW(Tickets!$G$2:$G$161)-ROW(Tickets!$G$2)+1)/(Tickets!$G$2:$G$161=$I$3),ROWS($I$4:I98)))&amp;" - "&amp;INDEX(Tickets!$E$2:$E$161,_xlfn.AGGREGATE(15,6,(ROW(Tickets!$G$2:$G$161)-ROW(Tickets!$G$2)+1)/(Tickets!$G$2:$G$161=$I$3),ROWS($I$4:I98))),"")</f>
        <v/>
      </c>
      <c r="J98" s="2"/>
    </row>
    <row r="99" spans="1:10" ht="36" customHeight="1" x14ac:dyDescent="0.2">
      <c r="A99" s="16" t="str">
        <f>IFERROR(INDEX(Tickets!$A$2:$A$161,_xlfn.AGGREGATE(15,6,(ROW(Tickets!$G$2:$G$161)-ROW(Tickets!$G$2)+1)/(Tickets!$G$2:$G$161=$A$3),ROWS($A$4:A99)))&amp;" - "&amp;INDEX(Tickets!$E$2:$E$161,_xlfn.AGGREGATE(15,6,(ROW(Tickets!$G$2:$G$161)-ROW(Tickets!$G$2)+1)/(Tickets!$G$2:$G$161=$A$3),ROWS($A$4:A99))),"")</f>
        <v>WPT-106 - Create view application details screen</v>
      </c>
      <c r="B99" s="2"/>
      <c r="C99" s="16" t="str">
        <f>IFERROR(INDEX(Tickets!$A$2:$A$161,_xlfn.AGGREGATE(15,6,(ROW(Tickets!$G$2:$G$161)-ROW(Tickets!$G$2)+1)/(Tickets!$G$2:$G$161=$C$3),ROWS($C$4:C99)))&amp;" - "&amp;INDEX(Tickets!$E$2:$E$161,_xlfn.AGGREGATE(15,6,(ROW(Tickets!$G$2:$G$161)-ROW(Tickets!$G$2)+1)/(Tickets!$G$2:$G$161=$C$3),ROWS($C$4:C99))),"")</f>
        <v/>
      </c>
      <c r="D99" s="2"/>
      <c r="E99" s="16" t="str">
        <f>IFERROR(INDEX(Tickets!$A$2:$A$161,_xlfn.AGGREGATE(15,6,(ROW(Tickets!$G$2:$G$161)-ROW(Tickets!$G$2)+1)/(Tickets!$G$2:$G$161=$E$3),ROWS($E$4:E99)))&amp;" - "&amp;INDEX(Tickets!$E$2:$E$161,_xlfn.AGGREGATE(15,6,(ROW(Tickets!$G$2:$G$161)-ROW(Tickets!$G$2)+1)/(Tickets!$G$2:$G$161=$E$3),ROWS($E$4:E99))),"")</f>
        <v/>
      </c>
      <c r="F99" s="2"/>
      <c r="G99" s="16" t="str">
        <f>IFERROR(INDEX(Tickets!$A$2:$A$161,_xlfn.AGGREGATE(15,6,(ROW(Tickets!$G$2:$G$161)-ROW(Tickets!$G$2)+1)/(Tickets!$G$2:$G$161=$G$3),ROWS($G$4:G99)))&amp;" - "&amp;INDEX(Tickets!$E$2:$E$161,_xlfn.AGGREGATE(15,6,(ROW(Tickets!$G$2:$G$161)-ROW(Tickets!$G$2)+1)/(Tickets!$G$2:$G$161=$G$3),ROWS($G$4:G99))),"")</f>
        <v/>
      </c>
      <c r="H99" s="2"/>
      <c r="I99" s="16" t="str">
        <f>IFERROR(INDEX(Tickets!$A$2:$A$161,_xlfn.AGGREGATE(15,6,(ROW(Tickets!$G$2:$G$161)-ROW(Tickets!$G$2)+1)/(Tickets!$G$2:$G$161=$I$3),ROWS($I$4:I99)))&amp;" - "&amp;INDEX(Tickets!$E$2:$E$161,_xlfn.AGGREGATE(15,6,(ROW(Tickets!$G$2:$G$161)-ROW(Tickets!$G$2)+1)/(Tickets!$G$2:$G$161=$I$3),ROWS($I$4:I99))),"")</f>
        <v/>
      </c>
      <c r="J99" s="2"/>
    </row>
    <row r="100" spans="1:10" ht="36" customHeight="1" x14ac:dyDescent="0.2">
      <c r="A100" s="16" t="str">
        <f>IFERROR(INDEX(Tickets!$A$2:$A$161,_xlfn.AGGREGATE(15,6,(ROW(Tickets!$G$2:$G$161)-ROW(Tickets!$G$2)+1)/(Tickets!$G$2:$G$161=$A$3),ROWS($A$4:A100)))&amp;" - "&amp;INDEX(Tickets!$E$2:$E$161,_xlfn.AGGREGATE(15,6,(ROW(Tickets!$G$2:$G$161)-ROW(Tickets!$G$2)+1)/(Tickets!$G$2:$G$161=$A$3),ROWS($A$4:A100))),"")</f>
        <v>WPT-107 - Create withdraw application function</v>
      </c>
      <c r="B100" s="2"/>
      <c r="C100" s="16" t="str">
        <f>IFERROR(INDEX(Tickets!$A$2:$A$161,_xlfn.AGGREGATE(15,6,(ROW(Tickets!$G$2:$G$161)-ROW(Tickets!$G$2)+1)/(Tickets!$G$2:$G$161=$C$3),ROWS($C$4:C100)))&amp;" - "&amp;INDEX(Tickets!$E$2:$E$161,_xlfn.AGGREGATE(15,6,(ROW(Tickets!$G$2:$G$161)-ROW(Tickets!$G$2)+1)/(Tickets!$G$2:$G$161=$C$3),ROWS($C$4:C100))),"")</f>
        <v/>
      </c>
      <c r="D100" s="2"/>
      <c r="E100" s="16" t="str">
        <f>IFERROR(INDEX(Tickets!$A$2:$A$161,_xlfn.AGGREGATE(15,6,(ROW(Tickets!$G$2:$G$161)-ROW(Tickets!$G$2)+1)/(Tickets!$G$2:$G$161=$E$3),ROWS($E$4:E100)))&amp;" - "&amp;INDEX(Tickets!$E$2:$E$161,_xlfn.AGGREGATE(15,6,(ROW(Tickets!$G$2:$G$161)-ROW(Tickets!$G$2)+1)/(Tickets!$G$2:$G$161=$E$3),ROWS($E$4:E100))),"")</f>
        <v/>
      </c>
      <c r="F100" s="2"/>
      <c r="G100" s="16" t="str">
        <f>IFERROR(INDEX(Tickets!$A$2:$A$161,_xlfn.AGGREGATE(15,6,(ROW(Tickets!$G$2:$G$161)-ROW(Tickets!$G$2)+1)/(Tickets!$G$2:$G$161=$G$3),ROWS($G$4:G100)))&amp;" - "&amp;INDEX(Tickets!$E$2:$E$161,_xlfn.AGGREGATE(15,6,(ROW(Tickets!$G$2:$G$161)-ROW(Tickets!$G$2)+1)/(Tickets!$G$2:$G$161=$G$3),ROWS($G$4:G100))),"")</f>
        <v/>
      </c>
      <c r="H100" s="2"/>
      <c r="I100" s="16" t="str">
        <f>IFERROR(INDEX(Tickets!$A$2:$A$161,_xlfn.AGGREGATE(15,6,(ROW(Tickets!$G$2:$G$161)-ROW(Tickets!$G$2)+1)/(Tickets!$G$2:$G$161=$I$3),ROWS($I$4:I100)))&amp;" - "&amp;INDEX(Tickets!$E$2:$E$161,_xlfn.AGGREGATE(15,6,(ROW(Tickets!$G$2:$G$161)-ROW(Tickets!$G$2)+1)/(Tickets!$G$2:$G$161=$I$3),ROWS($I$4:I100))),"")</f>
        <v/>
      </c>
      <c r="J100" s="2"/>
    </row>
    <row r="101" spans="1:10" ht="36" customHeight="1" x14ac:dyDescent="0.2">
      <c r="A101" s="16" t="str">
        <f>IFERROR(INDEX(Tickets!$A$2:$A$161,_xlfn.AGGREGATE(15,6,(ROW(Tickets!$G$2:$G$161)-ROW(Tickets!$G$2)+1)/(Tickets!$G$2:$G$161=$A$3),ROWS($A$4:A101)))&amp;" - "&amp;INDEX(Tickets!$E$2:$E$161,_xlfn.AGGREGATE(15,6,(ROW(Tickets!$G$2:$G$161)-ROW(Tickets!$G$2)+1)/(Tickets!$G$2:$G$161=$A$3),ROWS($A$4:A101))),"")</f>
        <v>WPT-108 - Prevent editing after submission</v>
      </c>
      <c r="B101" s="2"/>
      <c r="C101" s="16" t="str">
        <f>IFERROR(INDEX(Tickets!$A$2:$A$161,_xlfn.AGGREGATE(15,6,(ROW(Tickets!$G$2:$G$161)-ROW(Tickets!$G$2)+1)/(Tickets!$G$2:$G$161=$C$3),ROWS($C$4:C101)))&amp;" - "&amp;INDEX(Tickets!$E$2:$E$161,_xlfn.AGGREGATE(15,6,(ROW(Tickets!$G$2:$G$161)-ROW(Tickets!$G$2)+1)/(Tickets!$G$2:$G$161=$C$3),ROWS($C$4:C101))),"")</f>
        <v/>
      </c>
      <c r="D101" s="2"/>
      <c r="E101" s="16" t="str">
        <f>IFERROR(INDEX(Tickets!$A$2:$A$161,_xlfn.AGGREGATE(15,6,(ROW(Tickets!$G$2:$G$161)-ROW(Tickets!$G$2)+1)/(Tickets!$G$2:$G$161=$E$3),ROWS($E$4:E101)))&amp;" - "&amp;INDEX(Tickets!$E$2:$E$161,_xlfn.AGGREGATE(15,6,(ROW(Tickets!$G$2:$G$161)-ROW(Tickets!$G$2)+1)/(Tickets!$G$2:$G$161=$E$3),ROWS($E$4:E101))),"")</f>
        <v/>
      </c>
      <c r="F101" s="2"/>
      <c r="G101" s="16" t="str">
        <f>IFERROR(INDEX(Tickets!$A$2:$A$161,_xlfn.AGGREGATE(15,6,(ROW(Tickets!$G$2:$G$161)-ROW(Tickets!$G$2)+1)/(Tickets!$G$2:$G$161=$G$3),ROWS($G$4:G101)))&amp;" - "&amp;INDEX(Tickets!$E$2:$E$161,_xlfn.AGGREGATE(15,6,(ROW(Tickets!$G$2:$G$161)-ROW(Tickets!$G$2)+1)/(Tickets!$G$2:$G$161=$G$3),ROWS($G$4:G101))),"")</f>
        <v/>
      </c>
      <c r="H101" s="2"/>
      <c r="I101" s="16" t="str">
        <f>IFERROR(INDEX(Tickets!$A$2:$A$161,_xlfn.AGGREGATE(15,6,(ROW(Tickets!$G$2:$G$161)-ROW(Tickets!$G$2)+1)/(Tickets!$G$2:$G$161=$I$3),ROWS($I$4:I101)))&amp;" - "&amp;INDEX(Tickets!$E$2:$E$161,_xlfn.AGGREGATE(15,6,(ROW(Tickets!$G$2:$G$161)-ROW(Tickets!$G$2)+1)/(Tickets!$G$2:$G$161=$I$3),ROWS($I$4:I101))),"")</f>
        <v/>
      </c>
      <c r="J101" s="2"/>
    </row>
    <row r="102" spans="1:10" ht="36" customHeight="1" x14ac:dyDescent="0.2">
      <c r="A102" s="16" t="str">
        <f>IFERROR(INDEX(Tickets!$A$2:$A$161,_xlfn.AGGREGATE(15,6,(ROW(Tickets!$G$2:$G$161)-ROW(Tickets!$G$2)+1)/(Tickets!$G$2:$G$161=$A$3),ROWS($A$4:A102)))&amp;" - "&amp;INDEX(Tickets!$E$2:$E$161,_xlfn.AGGREGATE(15,6,(ROW(Tickets!$G$2:$G$161)-ROW(Tickets!$G$2)+1)/(Tickets!$G$2:$G$161=$A$3),ROWS($A$4:A102))),"")</f>
        <v>WPT-109 - Employee Event Dashboard and RSVP</v>
      </c>
      <c r="B102" s="2"/>
      <c r="C102" s="16" t="str">
        <f>IFERROR(INDEX(Tickets!$A$2:$A$161,_xlfn.AGGREGATE(15,6,(ROW(Tickets!$G$2:$G$161)-ROW(Tickets!$G$2)+1)/(Tickets!$G$2:$G$161=$C$3),ROWS($C$4:C102)))&amp;" - "&amp;INDEX(Tickets!$E$2:$E$161,_xlfn.AGGREGATE(15,6,(ROW(Tickets!$G$2:$G$161)-ROW(Tickets!$G$2)+1)/(Tickets!$G$2:$G$161=$C$3),ROWS($C$4:C102))),"")</f>
        <v/>
      </c>
      <c r="D102" s="2"/>
      <c r="E102" s="16" t="str">
        <f>IFERROR(INDEX(Tickets!$A$2:$A$161,_xlfn.AGGREGATE(15,6,(ROW(Tickets!$G$2:$G$161)-ROW(Tickets!$G$2)+1)/(Tickets!$G$2:$G$161=$E$3),ROWS($E$4:E102)))&amp;" - "&amp;INDEX(Tickets!$E$2:$E$161,_xlfn.AGGREGATE(15,6,(ROW(Tickets!$G$2:$G$161)-ROW(Tickets!$G$2)+1)/(Tickets!$G$2:$G$161=$E$3),ROWS($E$4:E102))),"")</f>
        <v/>
      </c>
      <c r="F102" s="2"/>
      <c r="G102" s="16" t="str">
        <f>IFERROR(INDEX(Tickets!$A$2:$A$161,_xlfn.AGGREGATE(15,6,(ROW(Tickets!$G$2:$G$161)-ROW(Tickets!$G$2)+1)/(Tickets!$G$2:$G$161=$G$3),ROWS($G$4:G102)))&amp;" - "&amp;INDEX(Tickets!$E$2:$E$161,_xlfn.AGGREGATE(15,6,(ROW(Tickets!$G$2:$G$161)-ROW(Tickets!$G$2)+1)/(Tickets!$G$2:$G$161=$G$3),ROWS($G$4:G102))),"")</f>
        <v/>
      </c>
      <c r="H102" s="2"/>
      <c r="I102" s="16" t="str">
        <f>IFERROR(INDEX(Tickets!$A$2:$A$161,_xlfn.AGGREGATE(15,6,(ROW(Tickets!$G$2:$G$161)-ROW(Tickets!$G$2)+1)/(Tickets!$G$2:$G$161=$I$3),ROWS($I$4:I102)))&amp;" - "&amp;INDEX(Tickets!$E$2:$E$161,_xlfn.AGGREGATE(15,6,(ROW(Tickets!$G$2:$G$161)-ROW(Tickets!$G$2)+1)/(Tickets!$G$2:$G$161=$I$3),ROWS($I$4:I102))),"")</f>
        <v/>
      </c>
      <c r="J102" s="2"/>
    </row>
    <row r="103" spans="1:10" ht="36" customHeight="1" x14ac:dyDescent="0.2">
      <c r="A103" s="16" t="str">
        <f>IFERROR(INDEX(Tickets!$A$2:$A$161,_xlfn.AGGREGATE(15,6,(ROW(Tickets!$G$2:$G$161)-ROW(Tickets!$G$2)+1)/(Tickets!$G$2:$G$161=$A$3),ROWS($A$4:A103)))&amp;" - "&amp;INDEX(Tickets!$E$2:$E$161,_xlfn.AGGREGATE(15,6,(ROW(Tickets!$G$2:$G$161)-ROW(Tickets!$G$2)+1)/(Tickets!$G$2:$G$161=$A$3),ROWS($A$4:A103))),"")</f>
        <v>WPT-110 - Browse available events</v>
      </c>
      <c r="B103" s="2"/>
      <c r="C103" s="16" t="str">
        <f>IFERROR(INDEX(Tickets!$A$2:$A$161,_xlfn.AGGREGATE(15,6,(ROW(Tickets!$G$2:$G$161)-ROW(Tickets!$G$2)+1)/(Tickets!$G$2:$G$161=$C$3),ROWS($C$4:C103)))&amp;" - "&amp;INDEX(Tickets!$E$2:$E$161,_xlfn.AGGREGATE(15,6,(ROW(Tickets!$G$2:$G$161)-ROW(Tickets!$G$2)+1)/(Tickets!$G$2:$G$161=$C$3),ROWS($C$4:C103))),"")</f>
        <v/>
      </c>
      <c r="D103" s="2"/>
      <c r="E103" s="16" t="str">
        <f>IFERROR(INDEX(Tickets!$A$2:$A$161,_xlfn.AGGREGATE(15,6,(ROW(Tickets!$G$2:$G$161)-ROW(Tickets!$G$2)+1)/(Tickets!$G$2:$G$161=$E$3),ROWS($E$4:E103)))&amp;" - "&amp;INDEX(Tickets!$E$2:$E$161,_xlfn.AGGREGATE(15,6,(ROW(Tickets!$G$2:$G$161)-ROW(Tickets!$G$2)+1)/(Tickets!$G$2:$G$161=$E$3),ROWS($E$4:E103))),"")</f>
        <v/>
      </c>
      <c r="F103" s="2"/>
      <c r="G103" s="16" t="str">
        <f>IFERROR(INDEX(Tickets!$A$2:$A$161,_xlfn.AGGREGATE(15,6,(ROW(Tickets!$G$2:$G$161)-ROW(Tickets!$G$2)+1)/(Tickets!$G$2:$G$161=$G$3),ROWS($G$4:G103)))&amp;" - "&amp;INDEX(Tickets!$E$2:$E$161,_xlfn.AGGREGATE(15,6,(ROW(Tickets!$G$2:$G$161)-ROW(Tickets!$G$2)+1)/(Tickets!$G$2:$G$161=$G$3),ROWS($G$4:G103))),"")</f>
        <v/>
      </c>
      <c r="H103" s="2"/>
      <c r="I103" s="16" t="str">
        <f>IFERROR(INDEX(Tickets!$A$2:$A$161,_xlfn.AGGREGATE(15,6,(ROW(Tickets!$G$2:$G$161)-ROW(Tickets!$G$2)+1)/(Tickets!$G$2:$G$161=$I$3),ROWS($I$4:I103)))&amp;" - "&amp;INDEX(Tickets!$E$2:$E$161,_xlfn.AGGREGATE(15,6,(ROW(Tickets!$G$2:$G$161)-ROW(Tickets!$G$2)+1)/(Tickets!$G$2:$G$161=$I$3),ROWS($I$4:I103))),"")</f>
        <v/>
      </c>
      <c r="J103" s="2"/>
    </row>
    <row r="104" spans="1:10" ht="36" customHeight="1" x14ac:dyDescent="0.2">
      <c r="A104" s="16" t="str">
        <f>IFERROR(INDEX(Tickets!$A$2:$A$161,_xlfn.AGGREGATE(15,6,(ROW(Tickets!$G$2:$G$161)-ROW(Tickets!$G$2)+1)/(Tickets!$G$2:$G$161=$A$3),ROWS($A$4:A104)))&amp;" - "&amp;INDEX(Tickets!$E$2:$E$161,_xlfn.AGGREGATE(15,6,(ROW(Tickets!$G$2:$G$161)-ROW(Tickets!$G$2)+1)/(Tickets!$G$2:$G$161=$A$3),ROWS($A$4:A104))),"")</f>
        <v>WPT-111 - Create event listings page</v>
      </c>
      <c r="B104" s="2"/>
      <c r="C104" s="16" t="str">
        <f>IFERROR(INDEX(Tickets!$A$2:$A$161,_xlfn.AGGREGATE(15,6,(ROW(Tickets!$G$2:$G$161)-ROW(Tickets!$G$2)+1)/(Tickets!$G$2:$G$161=$C$3),ROWS($C$4:C104)))&amp;" - "&amp;INDEX(Tickets!$E$2:$E$161,_xlfn.AGGREGATE(15,6,(ROW(Tickets!$G$2:$G$161)-ROW(Tickets!$G$2)+1)/(Tickets!$G$2:$G$161=$C$3),ROWS($C$4:C104))),"")</f>
        <v/>
      </c>
      <c r="D104" s="2"/>
      <c r="E104" s="16" t="str">
        <f>IFERROR(INDEX(Tickets!$A$2:$A$161,_xlfn.AGGREGATE(15,6,(ROW(Tickets!$G$2:$G$161)-ROW(Tickets!$G$2)+1)/(Tickets!$G$2:$G$161=$E$3),ROWS($E$4:E104)))&amp;" - "&amp;INDEX(Tickets!$E$2:$E$161,_xlfn.AGGREGATE(15,6,(ROW(Tickets!$G$2:$G$161)-ROW(Tickets!$G$2)+1)/(Tickets!$G$2:$G$161=$E$3),ROWS($E$4:E104))),"")</f>
        <v/>
      </c>
      <c r="F104" s="2"/>
      <c r="G104" s="16" t="str">
        <f>IFERROR(INDEX(Tickets!$A$2:$A$161,_xlfn.AGGREGATE(15,6,(ROW(Tickets!$G$2:$G$161)-ROW(Tickets!$G$2)+1)/(Tickets!$G$2:$G$161=$G$3),ROWS($G$4:G104)))&amp;" - "&amp;INDEX(Tickets!$E$2:$E$161,_xlfn.AGGREGATE(15,6,(ROW(Tickets!$G$2:$G$161)-ROW(Tickets!$G$2)+1)/(Tickets!$G$2:$G$161=$G$3),ROWS($G$4:G104))),"")</f>
        <v/>
      </c>
      <c r="H104" s="2"/>
      <c r="I104" s="16" t="str">
        <f>IFERROR(INDEX(Tickets!$A$2:$A$161,_xlfn.AGGREGATE(15,6,(ROW(Tickets!$G$2:$G$161)-ROW(Tickets!$G$2)+1)/(Tickets!$G$2:$G$161=$I$3),ROWS($I$4:I104)))&amp;" - "&amp;INDEX(Tickets!$E$2:$E$161,_xlfn.AGGREGATE(15,6,(ROW(Tickets!$G$2:$G$161)-ROW(Tickets!$G$2)+1)/(Tickets!$G$2:$G$161=$I$3),ROWS($I$4:I104))),"")</f>
        <v/>
      </c>
      <c r="J104" s="2"/>
    </row>
    <row r="105" spans="1:10" ht="36" customHeight="1" x14ac:dyDescent="0.2">
      <c r="A105" s="16" t="str">
        <f>IFERROR(INDEX(Tickets!$A$2:$A$161,_xlfn.AGGREGATE(15,6,(ROW(Tickets!$G$2:$G$161)-ROW(Tickets!$G$2)+1)/(Tickets!$G$2:$G$161=$A$3),ROWS($A$4:A105)))&amp;" - "&amp;INDEX(Tickets!$E$2:$E$161,_xlfn.AGGREGATE(15,6,(ROW(Tickets!$G$2:$G$161)-ROW(Tickets!$G$2)+1)/(Tickets!$G$2:$G$161=$A$3),ROWS($A$4:A105))),"")</f>
        <v>WPT-112 - Create event search box</v>
      </c>
      <c r="B105" s="2"/>
      <c r="C105" s="16" t="str">
        <f>IFERROR(INDEX(Tickets!$A$2:$A$161,_xlfn.AGGREGATE(15,6,(ROW(Tickets!$G$2:$G$161)-ROW(Tickets!$G$2)+1)/(Tickets!$G$2:$G$161=$C$3),ROWS($C$4:C105)))&amp;" - "&amp;INDEX(Tickets!$E$2:$E$161,_xlfn.AGGREGATE(15,6,(ROW(Tickets!$G$2:$G$161)-ROW(Tickets!$G$2)+1)/(Tickets!$G$2:$G$161=$C$3),ROWS($C$4:C105))),"")</f>
        <v/>
      </c>
      <c r="D105" s="2"/>
      <c r="E105" s="16" t="str">
        <f>IFERROR(INDEX(Tickets!$A$2:$A$161,_xlfn.AGGREGATE(15,6,(ROW(Tickets!$G$2:$G$161)-ROW(Tickets!$G$2)+1)/(Tickets!$G$2:$G$161=$E$3),ROWS($E$4:E105)))&amp;" - "&amp;INDEX(Tickets!$E$2:$E$161,_xlfn.AGGREGATE(15,6,(ROW(Tickets!$G$2:$G$161)-ROW(Tickets!$G$2)+1)/(Tickets!$G$2:$G$161=$E$3),ROWS($E$4:E105))),"")</f>
        <v/>
      </c>
      <c r="F105" s="2"/>
      <c r="G105" s="16" t="str">
        <f>IFERROR(INDEX(Tickets!$A$2:$A$161,_xlfn.AGGREGATE(15,6,(ROW(Tickets!$G$2:$G$161)-ROW(Tickets!$G$2)+1)/(Tickets!$G$2:$G$161=$G$3),ROWS($G$4:G105)))&amp;" - "&amp;INDEX(Tickets!$E$2:$E$161,_xlfn.AGGREGATE(15,6,(ROW(Tickets!$G$2:$G$161)-ROW(Tickets!$G$2)+1)/(Tickets!$G$2:$G$161=$G$3),ROWS($G$4:G105))),"")</f>
        <v/>
      </c>
      <c r="H105" s="2"/>
      <c r="I105" s="16" t="str">
        <f>IFERROR(INDEX(Tickets!$A$2:$A$161,_xlfn.AGGREGATE(15,6,(ROW(Tickets!$G$2:$G$161)-ROW(Tickets!$G$2)+1)/(Tickets!$G$2:$G$161=$I$3),ROWS($I$4:I105)))&amp;" - "&amp;INDEX(Tickets!$E$2:$E$161,_xlfn.AGGREGATE(15,6,(ROW(Tickets!$G$2:$G$161)-ROW(Tickets!$G$2)+1)/(Tickets!$G$2:$G$161=$I$3),ROWS($I$4:I105))),"")</f>
        <v/>
      </c>
      <c r="J105" s="2"/>
    </row>
    <row r="106" spans="1:10" ht="36" customHeight="1" x14ac:dyDescent="0.2">
      <c r="A106" s="16" t="str">
        <f>IFERROR(INDEX(Tickets!$A$2:$A$161,_xlfn.AGGREGATE(15,6,(ROW(Tickets!$G$2:$G$161)-ROW(Tickets!$G$2)+1)/(Tickets!$G$2:$G$161=$A$3),ROWS($A$4:A106)))&amp;" - "&amp;INDEX(Tickets!$E$2:$E$161,_xlfn.AGGREGATE(15,6,(ROW(Tickets!$G$2:$G$161)-ROW(Tickets!$G$2)+1)/(Tickets!$G$2:$G$161=$A$3),ROWS($A$4:A106))),"")</f>
        <v>WPT-113 - Create event detail page</v>
      </c>
      <c r="B106" s="2"/>
      <c r="C106" s="16" t="str">
        <f>IFERROR(INDEX(Tickets!$A$2:$A$161,_xlfn.AGGREGATE(15,6,(ROW(Tickets!$G$2:$G$161)-ROW(Tickets!$G$2)+1)/(Tickets!$G$2:$G$161=$C$3),ROWS($C$4:C106)))&amp;" - "&amp;INDEX(Tickets!$E$2:$E$161,_xlfn.AGGREGATE(15,6,(ROW(Tickets!$G$2:$G$161)-ROW(Tickets!$G$2)+1)/(Tickets!$G$2:$G$161=$C$3),ROWS($C$4:C106))),"")</f>
        <v/>
      </c>
      <c r="D106" s="2"/>
      <c r="E106" s="16" t="str">
        <f>IFERROR(INDEX(Tickets!$A$2:$A$161,_xlfn.AGGREGATE(15,6,(ROW(Tickets!$G$2:$G$161)-ROW(Tickets!$G$2)+1)/(Tickets!$G$2:$G$161=$E$3),ROWS($E$4:E106)))&amp;" - "&amp;INDEX(Tickets!$E$2:$E$161,_xlfn.AGGREGATE(15,6,(ROW(Tickets!$G$2:$G$161)-ROW(Tickets!$G$2)+1)/(Tickets!$G$2:$G$161=$E$3),ROWS($E$4:E106))),"")</f>
        <v/>
      </c>
      <c r="F106" s="2"/>
      <c r="G106" s="16" t="str">
        <f>IFERROR(INDEX(Tickets!$A$2:$A$161,_xlfn.AGGREGATE(15,6,(ROW(Tickets!$G$2:$G$161)-ROW(Tickets!$G$2)+1)/(Tickets!$G$2:$G$161=$G$3),ROWS($G$4:G106)))&amp;" - "&amp;INDEX(Tickets!$E$2:$E$161,_xlfn.AGGREGATE(15,6,(ROW(Tickets!$G$2:$G$161)-ROW(Tickets!$G$2)+1)/(Tickets!$G$2:$G$161=$G$3),ROWS($G$4:G106))),"")</f>
        <v/>
      </c>
      <c r="H106" s="2"/>
      <c r="I106" s="16" t="str">
        <f>IFERROR(INDEX(Tickets!$A$2:$A$161,_xlfn.AGGREGATE(15,6,(ROW(Tickets!$G$2:$G$161)-ROW(Tickets!$G$2)+1)/(Tickets!$G$2:$G$161=$I$3),ROWS($I$4:I106)))&amp;" - "&amp;INDEX(Tickets!$E$2:$E$161,_xlfn.AGGREGATE(15,6,(ROW(Tickets!$G$2:$G$161)-ROW(Tickets!$G$2)+1)/(Tickets!$G$2:$G$161=$I$3),ROWS($I$4:I106))),"")</f>
        <v/>
      </c>
      <c r="J106" s="2"/>
    </row>
    <row r="107" spans="1:10" ht="36" customHeight="1" x14ac:dyDescent="0.2">
      <c r="A107" s="16" t="str">
        <f>IFERROR(INDEX(Tickets!$A$2:$A$161,_xlfn.AGGREGATE(15,6,(ROW(Tickets!$G$2:$G$161)-ROW(Tickets!$G$2)+1)/(Tickets!$G$2:$G$161=$A$3),ROWS($A$4:A107)))&amp;" - "&amp;INDEX(Tickets!$E$2:$E$161,_xlfn.AGGREGATE(15,6,(ROW(Tickets!$G$2:$G$161)-ROW(Tickets!$G$2)+1)/(Tickets!$G$2:$G$161=$A$3),ROWS($A$4:A107))),"")</f>
        <v>WPT-114 - Register for event</v>
      </c>
      <c r="B107" s="2"/>
      <c r="C107" s="16" t="str">
        <f>IFERROR(INDEX(Tickets!$A$2:$A$161,_xlfn.AGGREGATE(15,6,(ROW(Tickets!$G$2:$G$161)-ROW(Tickets!$G$2)+1)/(Tickets!$G$2:$G$161=$C$3),ROWS($C$4:C107)))&amp;" - "&amp;INDEX(Tickets!$E$2:$E$161,_xlfn.AGGREGATE(15,6,(ROW(Tickets!$G$2:$G$161)-ROW(Tickets!$G$2)+1)/(Tickets!$G$2:$G$161=$C$3),ROWS($C$4:C107))),"")</f>
        <v/>
      </c>
      <c r="D107" s="2"/>
      <c r="E107" s="16" t="str">
        <f>IFERROR(INDEX(Tickets!$A$2:$A$161,_xlfn.AGGREGATE(15,6,(ROW(Tickets!$G$2:$G$161)-ROW(Tickets!$G$2)+1)/(Tickets!$G$2:$G$161=$E$3),ROWS($E$4:E107)))&amp;" - "&amp;INDEX(Tickets!$E$2:$E$161,_xlfn.AGGREGATE(15,6,(ROW(Tickets!$G$2:$G$161)-ROW(Tickets!$G$2)+1)/(Tickets!$G$2:$G$161=$E$3),ROWS($E$4:E107))),"")</f>
        <v/>
      </c>
      <c r="F107" s="2"/>
      <c r="G107" s="16" t="str">
        <f>IFERROR(INDEX(Tickets!$A$2:$A$161,_xlfn.AGGREGATE(15,6,(ROW(Tickets!$G$2:$G$161)-ROW(Tickets!$G$2)+1)/(Tickets!$G$2:$G$161=$G$3),ROWS($G$4:G107)))&amp;" - "&amp;INDEX(Tickets!$E$2:$E$161,_xlfn.AGGREGATE(15,6,(ROW(Tickets!$G$2:$G$161)-ROW(Tickets!$G$2)+1)/(Tickets!$G$2:$G$161=$G$3),ROWS($G$4:G107))),"")</f>
        <v/>
      </c>
      <c r="H107" s="2"/>
      <c r="I107" s="16" t="str">
        <f>IFERROR(INDEX(Tickets!$A$2:$A$161,_xlfn.AGGREGATE(15,6,(ROW(Tickets!$G$2:$G$161)-ROW(Tickets!$G$2)+1)/(Tickets!$G$2:$G$161=$I$3),ROWS($I$4:I107)))&amp;" - "&amp;INDEX(Tickets!$E$2:$E$161,_xlfn.AGGREGATE(15,6,(ROW(Tickets!$G$2:$G$161)-ROW(Tickets!$G$2)+1)/(Tickets!$G$2:$G$161=$I$3),ROWS($I$4:I107))),"")</f>
        <v/>
      </c>
      <c r="J107" s="2"/>
    </row>
    <row r="108" spans="1:10" ht="36" customHeight="1" x14ac:dyDescent="0.2">
      <c r="A108" s="16" t="str">
        <f>IFERROR(INDEX(Tickets!$A$2:$A$161,_xlfn.AGGREGATE(15,6,(ROW(Tickets!$G$2:$G$161)-ROW(Tickets!$G$2)+1)/(Tickets!$G$2:$G$161=$A$3),ROWS($A$4:A108)))&amp;" - "&amp;INDEX(Tickets!$E$2:$E$161,_xlfn.AGGREGATE(15,6,(ROW(Tickets!$G$2:$G$161)-ROW(Tickets!$G$2)+1)/(Tickets!$G$2:$G$161=$A$3),ROWS($A$4:A108))),"")</f>
        <v>WPT-115 - Create RSVP/register button</v>
      </c>
      <c r="B108" s="2"/>
      <c r="C108" s="16" t="str">
        <f>IFERROR(INDEX(Tickets!$A$2:$A$161,_xlfn.AGGREGATE(15,6,(ROW(Tickets!$G$2:$G$161)-ROW(Tickets!$G$2)+1)/(Tickets!$G$2:$G$161=$C$3),ROWS($C$4:C108)))&amp;" - "&amp;INDEX(Tickets!$E$2:$E$161,_xlfn.AGGREGATE(15,6,(ROW(Tickets!$G$2:$G$161)-ROW(Tickets!$G$2)+1)/(Tickets!$G$2:$G$161=$C$3),ROWS($C$4:C108))),"")</f>
        <v/>
      </c>
      <c r="D108" s="2"/>
      <c r="E108" s="16" t="str">
        <f>IFERROR(INDEX(Tickets!$A$2:$A$161,_xlfn.AGGREGATE(15,6,(ROW(Tickets!$G$2:$G$161)-ROW(Tickets!$G$2)+1)/(Tickets!$G$2:$G$161=$E$3),ROWS($E$4:E108)))&amp;" - "&amp;INDEX(Tickets!$E$2:$E$161,_xlfn.AGGREGATE(15,6,(ROW(Tickets!$G$2:$G$161)-ROW(Tickets!$G$2)+1)/(Tickets!$G$2:$G$161=$E$3),ROWS($E$4:E108))),"")</f>
        <v/>
      </c>
      <c r="F108" s="2"/>
      <c r="G108" s="16" t="str">
        <f>IFERROR(INDEX(Tickets!$A$2:$A$161,_xlfn.AGGREGATE(15,6,(ROW(Tickets!$G$2:$G$161)-ROW(Tickets!$G$2)+1)/(Tickets!$G$2:$G$161=$G$3),ROWS($G$4:G108)))&amp;" - "&amp;INDEX(Tickets!$E$2:$E$161,_xlfn.AGGREGATE(15,6,(ROW(Tickets!$G$2:$G$161)-ROW(Tickets!$G$2)+1)/(Tickets!$G$2:$G$161=$G$3),ROWS($G$4:G108))),"")</f>
        <v/>
      </c>
      <c r="H108" s="2"/>
      <c r="I108" s="16" t="str">
        <f>IFERROR(INDEX(Tickets!$A$2:$A$161,_xlfn.AGGREGATE(15,6,(ROW(Tickets!$G$2:$G$161)-ROW(Tickets!$G$2)+1)/(Tickets!$G$2:$G$161=$I$3),ROWS($I$4:I108)))&amp;" - "&amp;INDEX(Tickets!$E$2:$E$161,_xlfn.AGGREGATE(15,6,(ROW(Tickets!$G$2:$G$161)-ROW(Tickets!$G$2)+1)/(Tickets!$G$2:$G$161=$I$3),ROWS($I$4:I108))),"")</f>
        <v/>
      </c>
      <c r="J108" s="2"/>
    </row>
    <row r="109" spans="1:10" ht="36" customHeight="1" x14ac:dyDescent="0.2">
      <c r="A109" s="16" t="str">
        <f>IFERROR(INDEX(Tickets!$A$2:$A$161,_xlfn.AGGREGATE(15,6,(ROW(Tickets!$G$2:$G$161)-ROW(Tickets!$G$2)+1)/(Tickets!$G$2:$G$161=$A$3),ROWS($A$4:A109)))&amp;" - "&amp;INDEX(Tickets!$E$2:$E$161,_xlfn.AGGREGATE(15,6,(ROW(Tickets!$G$2:$G$161)-ROW(Tickets!$G$2)+1)/(Tickets!$G$2:$G$161=$A$3),ROWS($A$4:A109))),"")</f>
        <v>WPT-116 - Create event registration API</v>
      </c>
      <c r="B109" s="2"/>
      <c r="C109" s="16" t="str">
        <f>IFERROR(INDEX(Tickets!$A$2:$A$161,_xlfn.AGGREGATE(15,6,(ROW(Tickets!$G$2:$G$161)-ROW(Tickets!$G$2)+1)/(Tickets!$G$2:$G$161=$C$3),ROWS($C$4:C109)))&amp;" - "&amp;INDEX(Tickets!$E$2:$E$161,_xlfn.AGGREGATE(15,6,(ROW(Tickets!$G$2:$G$161)-ROW(Tickets!$G$2)+1)/(Tickets!$G$2:$G$161=$C$3),ROWS($C$4:C109))),"")</f>
        <v/>
      </c>
      <c r="D109" s="2"/>
      <c r="E109" s="16" t="str">
        <f>IFERROR(INDEX(Tickets!$A$2:$A$161,_xlfn.AGGREGATE(15,6,(ROW(Tickets!$G$2:$G$161)-ROW(Tickets!$G$2)+1)/(Tickets!$G$2:$G$161=$E$3),ROWS($E$4:E109)))&amp;" - "&amp;INDEX(Tickets!$E$2:$E$161,_xlfn.AGGREGATE(15,6,(ROW(Tickets!$G$2:$G$161)-ROW(Tickets!$G$2)+1)/(Tickets!$G$2:$G$161=$E$3),ROWS($E$4:E109))),"")</f>
        <v/>
      </c>
      <c r="F109" s="2"/>
      <c r="G109" s="16" t="str">
        <f>IFERROR(INDEX(Tickets!$A$2:$A$161,_xlfn.AGGREGATE(15,6,(ROW(Tickets!$G$2:$G$161)-ROW(Tickets!$G$2)+1)/(Tickets!$G$2:$G$161=$G$3),ROWS($G$4:G109)))&amp;" - "&amp;INDEX(Tickets!$E$2:$E$161,_xlfn.AGGREGATE(15,6,(ROW(Tickets!$G$2:$G$161)-ROW(Tickets!$G$2)+1)/(Tickets!$G$2:$G$161=$G$3),ROWS($G$4:G109))),"")</f>
        <v/>
      </c>
      <c r="H109" s="2"/>
      <c r="I109" s="16" t="str">
        <f>IFERROR(INDEX(Tickets!$A$2:$A$161,_xlfn.AGGREGATE(15,6,(ROW(Tickets!$G$2:$G$161)-ROW(Tickets!$G$2)+1)/(Tickets!$G$2:$G$161=$I$3),ROWS($I$4:I109)))&amp;" - "&amp;INDEX(Tickets!$E$2:$E$161,_xlfn.AGGREGATE(15,6,(ROW(Tickets!$G$2:$G$161)-ROW(Tickets!$G$2)+1)/(Tickets!$G$2:$G$161=$I$3),ROWS($I$4:I109))),"")</f>
        <v/>
      </c>
      <c r="J109" s="2"/>
    </row>
    <row r="110" spans="1:10" ht="36" customHeight="1" x14ac:dyDescent="0.2">
      <c r="A110" s="16" t="str">
        <f>IFERROR(INDEX(Tickets!$A$2:$A$161,_xlfn.AGGREGATE(15,6,(ROW(Tickets!$G$2:$G$161)-ROW(Tickets!$G$2)+1)/(Tickets!$G$2:$G$161=$A$3),ROWS($A$4:A110)))&amp;" - "&amp;INDEX(Tickets!$E$2:$E$161,_xlfn.AGGREGATE(15,6,(ROW(Tickets!$G$2:$G$161)-ROW(Tickets!$G$2)+1)/(Tickets!$G$2:$G$161=$A$3),ROWS($A$4:A110))),"")</f>
        <v>WPT-117 - Show registered status</v>
      </c>
      <c r="B110" s="2"/>
      <c r="C110" s="16" t="str">
        <f>IFERROR(INDEX(Tickets!$A$2:$A$161,_xlfn.AGGREGATE(15,6,(ROW(Tickets!$G$2:$G$161)-ROW(Tickets!$G$2)+1)/(Tickets!$G$2:$G$161=$C$3),ROWS($C$4:C110)))&amp;" - "&amp;INDEX(Tickets!$E$2:$E$161,_xlfn.AGGREGATE(15,6,(ROW(Tickets!$G$2:$G$161)-ROW(Tickets!$G$2)+1)/(Tickets!$G$2:$G$161=$C$3),ROWS($C$4:C110))),"")</f>
        <v/>
      </c>
      <c r="D110" s="2"/>
      <c r="E110" s="16" t="str">
        <f>IFERROR(INDEX(Tickets!$A$2:$A$161,_xlfn.AGGREGATE(15,6,(ROW(Tickets!$G$2:$G$161)-ROW(Tickets!$G$2)+1)/(Tickets!$G$2:$G$161=$E$3),ROWS($E$4:E110)))&amp;" - "&amp;INDEX(Tickets!$E$2:$E$161,_xlfn.AGGREGATE(15,6,(ROW(Tickets!$G$2:$G$161)-ROW(Tickets!$G$2)+1)/(Tickets!$G$2:$G$161=$E$3),ROWS($E$4:E110))),"")</f>
        <v/>
      </c>
      <c r="F110" s="2"/>
      <c r="G110" s="16" t="str">
        <f>IFERROR(INDEX(Tickets!$A$2:$A$161,_xlfn.AGGREGATE(15,6,(ROW(Tickets!$G$2:$G$161)-ROW(Tickets!$G$2)+1)/(Tickets!$G$2:$G$161=$G$3),ROWS($G$4:G110)))&amp;" - "&amp;INDEX(Tickets!$E$2:$E$161,_xlfn.AGGREGATE(15,6,(ROW(Tickets!$G$2:$G$161)-ROW(Tickets!$G$2)+1)/(Tickets!$G$2:$G$161=$G$3),ROWS($G$4:G110))),"")</f>
        <v/>
      </c>
      <c r="H110" s="2"/>
      <c r="I110" s="16" t="str">
        <f>IFERROR(INDEX(Tickets!$A$2:$A$161,_xlfn.AGGREGATE(15,6,(ROW(Tickets!$G$2:$G$161)-ROW(Tickets!$G$2)+1)/(Tickets!$G$2:$G$161=$I$3),ROWS($I$4:I110)))&amp;" - "&amp;INDEX(Tickets!$E$2:$E$161,_xlfn.AGGREGATE(15,6,(ROW(Tickets!$G$2:$G$161)-ROW(Tickets!$G$2)+1)/(Tickets!$G$2:$G$161=$I$3),ROWS($I$4:I110))),"")</f>
        <v/>
      </c>
      <c r="J110" s="2"/>
    </row>
    <row r="111" spans="1:10" ht="36" customHeight="1" x14ac:dyDescent="0.2">
      <c r="A111" s="16" t="str">
        <f>IFERROR(INDEX(Tickets!$A$2:$A$161,_xlfn.AGGREGATE(15,6,(ROW(Tickets!$G$2:$G$161)-ROW(Tickets!$G$2)+1)/(Tickets!$G$2:$G$161=$A$3),ROWS($A$4:A111)))&amp;" - "&amp;INDEX(Tickets!$E$2:$E$161,_xlfn.AGGREGATE(15,6,(ROW(Tickets!$G$2:$G$161)-ROW(Tickets!$G$2)+1)/(Tickets!$G$2:$G$161=$A$3),ROWS($A$4:A111))),"")</f>
        <v>WPT-118 - Manage registered events</v>
      </c>
      <c r="B111" s="2"/>
      <c r="C111" s="16" t="str">
        <f>IFERROR(INDEX(Tickets!$A$2:$A$161,_xlfn.AGGREGATE(15,6,(ROW(Tickets!$G$2:$G$161)-ROW(Tickets!$G$2)+1)/(Tickets!$G$2:$G$161=$C$3),ROWS($C$4:C111)))&amp;" - "&amp;INDEX(Tickets!$E$2:$E$161,_xlfn.AGGREGATE(15,6,(ROW(Tickets!$G$2:$G$161)-ROW(Tickets!$G$2)+1)/(Tickets!$G$2:$G$161=$C$3),ROWS($C$4:C111))),"")</f>
        <v/>
      </c>
      <c r="D111" s="2"/>
      <c r="E111" s="16" t="str">
        <f>IFERROR(INDEX(Tickets!$A$2:$A$161,_xlfn.AGGREGATE(15,6,(ROW(Tickets!$G$2:$G$161)-ROW(Tickets!$G$2)+1)/(Tickets!$G$2:$G$161=$E$3),ROWS($E$4:E111)))&amp;" - "&amp;INDEX(Tickets!$E$2:$E$161,_xlfn.AGGREGATE(15,6,(ROW(Tickets!$G$2:$G$161)-ROW(Tickets!$G$2)+1)/(Tickets!$G$2:$G$161=$E$3),ROWS($E$4:E111))),"")</f>
        <v/>
      </c>
      <c r="F111" s="2"/>
      <c r="G111" s="16" t="str">
        <f>IFERROR(INDEX(Tickets!$A$2:$A$161,_xlfn.AGGREGATE(15,6,(ROW(Tickets!$G$2:$G$161)-ROW(Tickets!$G$2)+1)/(Tickets!$G$2:$G$161=$G$3),ROWS($G$4:G111)))&amp;" - "&amp;INDEX(Tickets!$E$2:$E$161,_xlfn.AGGREGATE(15,6,(ROW(Tickets!$G$2:$G$161)-ROW(Tickets!$G$2)+1)/(Tickets!$G$2:$G$161=$G$3),ROWS($G$4:G111))),"")</f>
        <v/>
      </c>
      <c r="H111" s="2"/>
      <c r="I111" s="16" t="str">
        <f>IFERROR(INDEX(Tickets!$A$2:$A$161,_xlfn.AGGREGATE(15,6,(ROW(Tickets!$G$2:$G$161)-ROW(Tickets!$G$2)+1)/(Tickets!$G$2:$G$161=$I$3),ROWS($I$4:I111)))&amp;" - "&amp;INDEX(Tickets!$E$2:$E$161,_xlfn.AGGREGATE(15,6,(ROW(Tickets!$G$2:$G$161)-ROW(Tickets!$G$2)+1)/(Tickets!$G$2:$G$161=$I$3),ROWS($I$4:I111))),"")</f>
        <v/>
      </c>
      <c r="J111" s="2"/>
    </row>
    <row r="112" spans="1:10" ht="36" customHeight="1" x14ac:dyDescent="0.2">
      <c r="A112" s="16" t="str">
        <f>IFERROR(INDEX(Tickets!$A$2:$A$161,_xlfn.AGGREGATE(15,6,(ROW(Tickets!$G$2:$G$161)-ROW(Tickets!$G$2)+1)/(Tickets!$G$2:$G$161=$A$3),ROWS($A$4:A112)))&amp;" - "&amp;INDEX(Tickets!$E$2:$E$161,_xlfn.AGGREGATE(15,6,(ROW(Tickets!$G$2:$G$161)-ROW(Tickets!$G$2)+1)/(Tickets!$G$2:$G$161=$A$3),ROWS($A$4:A112))),"")</f>
        <v>WPT-119 - Create registered events tab</v>
      </c>
      <c r="B112" s="2"/>
      <c r="C112" s="16" t="str">
        <f>IFERROR(INDEX(Tickets!$A$2:$A$161,_xlfn.AGGREGATE(15,6,(ROW(Tickets!$G$2:$G$161)-ROW(Tickets!$G$2)+1)/(Tickets!$G$2:$G$161=$C$3),ROWS($C$4:C112)))&amp;" - "&amp;INDEX(Tickets!$E$2:$E$161,_xlfn.AGGREGATE(15,6,(ROW(Tickets!$G$2:$G$161)-ROW(Tickets!$G$2)+1)/(Tickets!$G$2:$G$161=$C$3),ROWS($C$4:C112))),"")</f>
        <v/>
      </c>
      <c r="D112" s="2"/>
      <c r="E112" s="16" t="str">
        <f>IFERROR(INDEX(Tickets!$A$2:$A$161,_xlfn.AGGREGATE(15,6,(ROW(Tickets!$G$2:$G$161)-ROW(Tickets!$G$2)+1)/(Tickets!$G$2:$G$161=$E$3),ROWS($E$4:E112)))&amp;" - "&amp;INDEX(Tickets!$E$2:$E$161,_xlfn.AGGREGATE(15,6,(ROW(Tickets!$G$2:$G$161)-ROW(Tickets!$G$2)+1)/(Tickets!$G$2:$G$161=$E$3),ROWS($E$4:E112))),"")</f>
        <v/>
      </c>
      <c r="F112" s="2"/>
      <c r="G112" s="16" t="str">
        <f>IFERROR(INDEX(Tickets!$A$2:$A$161,_xlfn.AGGREGATE(15,6,(ROW(Tickets!$G$2:$G$161)-ROW(Tickets!$G$2)+1)/(Tickets!$G$2:$G$161=$G$3),ROWS($G$4:G112)))&amp;" - "&amp;INDEX(Tickets!$E$2:$E$161,_xlfn.AGGREGATE(15,6,(ROW(Tickets!$G$2:$G$161)-ROW(Tickets!$G$2)+1)/(Tickets!$G$2:$G$161=$G$3),ROWS($G$4:G112))),"")</f>
        <v/>
      </c>
      <c r="H112" s="2"/>
      <c r="I112" s="16" t="str">
        <f>IFERROR(INDEX(Tickets!$A$2:$A$161,_xlfn.AGGREGATE(15,6,(ROW(Tickets!$G$2:$G$161)-ROW(Tickets!$G$2)+1)/(Tickets!$G$2:$G$161=$I$3),ROWS($I$4:I112)))&amp;" - "&amp;INDEX(Tickets!$E$2:$E$161,_xlfn.AGGREGATE(15,6,(ROW(Tickets!$G$2:$G$161)-ROW(Tickets!$G$2)+1)/(Tickets!$G$2:$G$161=$I$3),ROWS($I$4:I112))),"")</f>
        <v/>
      </c>
      <c r="J112" s="2"/>
    </row>
    <row r="113" spans="1:10" ht="36" customHeight="1" x14ac:dyDescent="0.2">
      <c r="A113" s="16" t="str">
        <f>IFERROR(INDEX(Tickets!$A$2:$A$161,_xlfn.AGGREGATE(15,6,(ROW(Tickets!$G$2:$G$161)-ROW(Tickets!$G$2)+1)/(Tickets!$G$2:$G$161=$A$3),ROWS($A$4:A113)))&amp;" - "&amp;INDEX(Tickets!$E$2:$E$161,_xlfn.AGGREGATE(15,6,(ROW(Tickets!$G$2:$G$161)-ROW(Tickets!$G$2)+1)/(Tickets!$G$2:$G$161=$A$3),ROWS($A$4:A113))),"")</f>
        <v>WPT-120 - Show upcoming events</v>
      </c>
      <c r="B113" s="2"/>
      <c r="C113" s="16" t="str">
        <f>IFERROR(INDEX(Tickets!$A$2:$A$161,_xlfn.AGGREGATE(15,6,(ROW(Tickets!$G$2:$G$161)-ROW(Tickets!$G$2)+1)/(Tickets!$G$2:$G$161=$C$3),ROWS($C$4:C113)))&amp;" - "&amp;INDEX(Tickets!$E$2:$E$161,_xlfn.AGGREGATE(15,6,(ROW(Tickets!$G$2:$G$161)-ROW(Tickets!$G$2)+1)/(Tickets!$G$2:$G$161=$C$3),ROWS($C$4:C113))),"")</f>
        <v/>
      </c>
      <c r="D113" s="2"/>
      <c r="E113" s="16" t="str">
        <f>IFERROR(INDEX(Tickets!$A$2:$A$161,_xlfn.AGGREGATE(15,6,(ROW(Tickets!$G$2:$G$161)-ROW(Tickets!$G$2)+1)/(Tickets!$G$2:$G$161=$E$3),ROWS($E$4:E113)))&amp;" - "&amp;INDEX(Tickets!$E$2:$E$161,_xlfn.AGGREGATE(15,6,(ROW(Tickets!$G$2:$G$161)-ROW(Tickets!$G$2)+1)/(Tickets!$G$2:$G$161=$E$3),ROWS($E$4:E113))),"")</f>
        <v/>
      </c>
      <c r="F113" s="2"/>
      <c r="G113" s="16" t="str">
        <f>IFERROR(INDEX(Tickets!$A$2:$A$161,_xlfn.AGGREGATE(15,6,(ROW(Tickets!$G$2:$G$161)-ROW(Tickets!$G$2)+1)/(Tickets!$G$2:$G$161=$G$3),ROWS($G$4:G113)))&amp;" - "&amp;INDEX(Tickets!$E$2:$E$161,_xlfn.AGGREGATE(15,6,(ROW(Tickets!$G$2:$G$161)-ROW(Tickets!$G$2)+1)/(Tickets!$G$2:$G$161=$G$3),ROWS($G$4:G113))),"")</f>
        <v/>
      </c>
      <c r="H113" s="2"/>
      <c r="I113" s="16" t="str">
        <f>IFERROR(INDEX(Tickets!$A$2:$A$161,_xlfn.AGGREGATE(15,6,(ROW(Tickets!$G$2:$G$161)-ROW(Tickets!$G$2)+1)/(Tickets!$G$2:$G$161=$I$3),ROWS($I$4:I113)))&amp;" - "&amp;INDEX(Tickets!$E$2:$E$161,_xlfn.AGGREGATE(15,6,(ROW(Tickets!$G$2:$G$161)-ROW(Tickets!$G$2)+1)/(Tickets!$G$2:$G$161=$I$3),ROWS($I$4:I113))),"")</f>
        <v/>
      </c>
      <c r="J113" s="2"/>
    </row>
    <row r="114" spans="1:10" ht="36" customHeight="1" x14ac:dyDescent="0.2">
      <c r="A114" s="16" t="str">
        <f>IFERROR(INDEX(Tickets!$A$2:$A$161,_xlfn.AGGREGATE(15,6,(ROW(Tickets!$G$2:$G$161)-ROW(Tickets!$G$2)+1)/(Tickets!$G$2:$G$161=$A$3),ROWS($A$4:A114)))&amp;" - "&amp;INDEX(Tickets!$E$2:$E$161,_xlfn.AGGREGATE(15,6,(ROW(Tickets!$G$2:$G$161)-ROW(Tickets!$G$2)+1)/(Tickets!$G$2:$G$161=$A$3),ROWS($A$4:A114))),"")</f>
        <v>WPT-121 - Show completed events</v>
      </c>
      <c r="B114" s="2"/>
      <c r="C114" s="16" t="str">
        <f>IFERROR(INDEX(Tickets!$A$2:$A$161,_xlfn.AGGREGATE(15,6,(ROW(Tickets!$G$2:$G$161)-ROW(Tickets!$G$2)+1)/(Tickets!$G$2:$G$161=$C$3),ROWS($C$4:C114)))&amp;" - "&amp;INDEX(Tickets!$E$2:$E$161,_xlfn.AGGREGATE(15,6,(ROW(Tickets!$G$2:$G$161)-ROW(Tickets!$G$2)+1)/(Tickets!$G$2:$G$161=$C$3),ROWS($C$4:C114))),"")</f>
        <v/>
      </c>
      <c r="D114" s="2"/>
      <c r="E114" s="16" t="str">
        <f>IFERROR(INDEX(Tickets!$A$2:$A$161,_xlfn.AGGREGATE(15,6,(ROW(Tickets!$G$2:$G$161)-ROW(Tickets!$G$2)+1)/(Tickets!$G$2:$G$161=$E$3),ROWS($E$4:E114)))&amp;" - "&amp;INDEX(Tickets!$E$2:$E$161,_xlfn.AGGREGATE(15,6,(ROW(Tickets!$G$2:$G$161)-ROW(Tickets!$G$2)+1)/(Tickets!$G$2:$G$161=$E$3),ROWS($E$4:E114))),"")</f>
        <v/>
      </c>
      <c r="F114" s="2"/>
      <c r="G114" s="16" t="str">
        <f>IFERROR(INDEX(Tickets!$A$2:$A$161,_xlfn.AGGREGATE(15,6,(ROW(Tickets!$G$2:$G$161)-ROW(Tickets!$G$2)+1)/(Tickets!$G$2:$G$161=$G$3),ROWS($G$4:G114)))&amp;" - "&amp;INDEX(Tickets!$E$2:$E$161,_xlfn.AGGREGATE(15,6,(ROW(Tickets!$G$2:$G$161)-ROW(Tickets!$G$2)+1)/(Tickets!$G$2:$G$161=$G$3),ROWS($G$4:G114))),"")</f>
        <v/>
      </c>
      <c r="H114" s="2"/>
      <c r="I114" s="16" t="str">
        <f>IFERROR(INDEX(Tickets!$A$2:$A$161,_xlfn.AGGREGATE(15,6,(ROW(Tickets!$G$2:$G$161)-ROW(Tickets!$G$2)+1)/(Tickets!$G$2:$G$161=$I$3),ROWS($I$4:I114)))&amp;" - "&amp;INDEX(Tickets!$E$2:$E$161,_xlfn.AGGREGATE(15,6,(ROW(Tickets!$G$2:$G$161)-ROW(Tickets!$G$2)+1)/(Tickets!$G$2:$G$161=$I$3),ROWS($I$4:I114))),"")</f>
        <v/>
      </c>
      <c r="J114" s="2"/>
    </row>
    <row r="115" spans="1:10" ht="36" customHeight="1" x14ac:dyDescent="0.2">
      <c r="A115" s="16" t="str">
        <f>IFERROR(INDEX(Tickets!$A$2:$A$161,_xlfn.AGGREGATE(15,6,(ROW(Tickets!$G$2:$G$161)-ROW(Tickets!$G$2)+1)/(Tickets!$G$2:$G$161=$A$3),ROWS($A$4:A115)))&amp;" - "&amp;INDEX(Tickets!$E$2:$E$161,_xlfn.AGGREGATE(15,6,(ROW(Tickets!$G$2:$G$161)-ROW(Tickets!$G$2)+1)/(Tickets!$G$2:$G$161=$A$3),ROWS($A$4:A115))),"")</f>
        <v>WPT-122 - Create cancel RSVP function</v>
      </c>
      <c r="B115" s="2"/>
      <c r="C115" s="16" t="str">
        <f>IFERROR(INDEX(Tickets!$A$2:$A$161,_xlfn.AGGREGATE(15,6,(ROW(Tickets!$G$2:$G$161)-ROW(Tickets!$G$2)+1)/(Tickets!$G$2:$G$161=$C$3),ROWS($C$4:C115)))&amp;" - "&amp;INDEX(Tickets!$E$2:$E$161,_xlfn.AGGREGATE(15,6,(ROW(Tickets!$G$2:$G$161)-ROW(Tickets!$G$2)+1)/(Tickets!$G$2:$G$161=$C$3),ROWS($C$4:C115))),"")</f>
        <v/>
      </c>
      <c r="D115" s="2"/>
      <c r="E115" s="16" t="str">
        <f>IFERROR(INDEX(Tickets!$A$2:$A$161,_xlfn.AGGREGATE(15,6,(ROW(Tickets!$G$2:$G$161)-ROW(Tickets!$G$2)+1)/(Tickets!$G$2:$G$161=$E$3),ROWS($E$4:E115)))&amp;" - "&amp;INDEX(Tickets!$E$2:$E$161,_xlfn.AGGREGATE(15,6,(ROW(Tickets!$G$2:$G$161)-ROW(Tickets!$G$2)+1)/(Tickets!$G$2:$G$161=$E$3),ROWS($E$4:E115))),"")</f>
        <v/>
      </c>
      <c r="F115" s="2"/>
      <c r="G115" s="16" t="str">
        <f>IFERROR(INDEX(Tickets!$A$2:$A$161,_xlfn.AGGREGATE(15,6,(ROW(Tickets!$G$2:$G$161)-ROW(Tickets!$G$2)+1)/(Tickets!$G$2:$G$161=$G$3),ROWS($G$4:G115)))&amp;" - "&amp;INDEX(Tickets!$E$2:$E$161,_xlfn.AGGREGATE(15,6,(ROW(Tickets!$G$2:$G$161)-ROW(Tickets!$G$2)+1)/(Tickets!$G$2:$G$161=$G$3),ROWS($G$4:G115))),"")</f>
        <v/>
      </c>
      <c r="H115" s="2"/>
      <c r="I115" s="16" t="str">
        <f>IFERROR(INDEX(Tickets!$A$2:$A$161,_xlfn.AGGREGATE(15,6,(ROW(Tickets!$G$2:$G$161)-ROW(Tickets!$G$2)+1)/(Tickets!$G$2:$G$161=$I$3),ROWS($I$4:I115)))&amp;" - "&amp;INDEX(Tickets!$E$2:$E$161,_xlfn.AGGREGATE(15,6,(ROW(Tickets!$G$2:$G$161)-ROW(Tickets!$G$2)+1)/(Tickets!$G$2:$G$161=$I$3),ROWS($I$4:I115))),"")</f>
        <v/>
      </c>
      <c r="J115" s="2"/>
    </row>
    <row r="116" spans="1:10" ht="36" customHeight="1" x14ac:dyDescent="0.2">
      <c r="A116" s="16" t="str">
        <f>IFERROR(INDEX(Tickets!$A$2:$A$161,_xlfn.AGGREGATE(15,6,(ROW(Tickets!$G$2:$G$161)-ROW(Tickets!$G$2)+1)/(Tickets!$G$2:$G$161=$A$3),ROWS($A$4:A116)))&amp;" - "&amp;INDEX(Tickets!$E$2:$E$161,_xlfn.AGGREGATE(15,6,(ROW(Tickets!$G$2:$G$161)-ROW(Tickets!$G$2)+1)/(Tickets!$G$2:$G$161=$A$3),ROWS($A$4:A116))),"")</f>
        <v>WPT-123 - Create add to calendar action</v>
      </c>
      <c r="B116" s="2"/>
      <c r="C116" s="16" t="str">
        <f>IFERROR(INDEX(Tickets!$A$2:$A$161,_xlfn.AGGREGATE(15,6,(ROW(Tickets!$G$2:$G$161)-ROW(Tickets!$G$2)+1)/(Tickets!$G$2:$G$161=$C$3),ROWS($C$4:C116)))&amp;" - "&amp;INDEX(Tickets!$E$2:$E$161,_xlfn.AGGREGATE(15,6,(ROW(Tickets!$G$2:$G$161)-ROW(Tickets!$G$2)+1)/(Tickets!$G$2:$G$161=$C$3),ROWS($C$4:C116))),"")</f>
        <v/>
      </c>
      <c r="D116" s="2"/>
      <c r="E116" s="16" t="str">
        <f>IFERROR(INDEX(Tickets!$A$2:$A$161,_xlfn.AGGREGATE(15,6,(ROW(Tickets!$G$2:$G$161)-ROW(Tickets!$G$2)+1)/(Tickets!$G$2:$G$161=$E$3),ROWS($E$4:E116)))&amp;" - "&amp;INDEX(Tickets!$E$2:$E$161,_xlfn.AGGREGATE(15,6,(ROW(Tickets!$G$2:$G$161)-ROW(Tickets!$G$2)+1)/(Tickets!$G$2:$G$161=$E$3),ROWS($E$4:E116))),"")</f>
        <v/>
      </c>
      <c r="F116" s="2"/>
      <c r="G116" s="16" t="str">
        <f>IFERROR(INDEX(Tickets!$A$2:$A$161,_xlfn.AGGREGATE(15,6,(ROW(Tickets!$G$2:$G$161)-ROW(Tickets!$G$2)+1)/(Tickets!$G$2:$G$161=$G$3),ROWS($G$4:G116)))&amp;" - "&amp;INDEX(Tickets!$E$2:$E$161,_xlfn.AGGREGATE(15,6,(ROW(Tickets!$G$2:$G$161)-ROW(Tickets!$G$2)+1)/(Tickets!$G$2:$G$161=$G$3),ROWS($G$4:G116))),"")</f>
        <v/>
      </c>
      <c r="H116" s="2"/>
      <c r="I116" s="16" t="str">
        <f>IFERROR(INDEX(Tickets!$A$2:$A$161,_xlfn.AGGREGATE(15,6,(ROW(Tickets!$G$2:$G$161)-ROW(Tickets!$G$2)+1)/(Tickets!$G$2:$G$161=$I$3),ROWS($I$4:I116)))&amp;" - "&amp;INDEX(Tickets!$E$2:$E$161,_xlfn.AGGREGATE(15,6,(ROW(Tickets!$G$2:$G$161)-ROW(Tickets!$G$2)+1)/(Tickets!$G$2:$G$161=$I$3),ROWS($I$4:I116))),"")</f>
        <v/>
      </c>
      <c r="J116" s="2"/>
    </row>
    <row r="117" spans="1:10" ht="36" customHeight="1" x14ac:dyDescent="0.2">
      <c r="A117" s="16" t="str">
        <f>IFERROR(INDEX(Tickets!$A$2:$A$161,_xlfn.AGGREGATE(15,6,(ROW(Tickets!$G$2:$G$161)-ROW(Tickets!$G$2)+1)/(Tickets!$G$2:$G$161=$A$3),ROWS($A$4:A117)))&amp;" - "&amp;INDEX(Tickets!$E$2:$E$161,_xlfn.AGGREGATE(15,6,(ROW(Tickets!$G$2:$G$161)-ROW(Tickets!$G$2)+1)/(Tickets!$G$2:$G$161=$A$3),ROWS($A$4:A117))),"")</f>
        <v>WPT-124 - Notifications for Employee and Employer</v>
      </c>
      <c r="B117" s="2"/>
      <c r="C117" s="16" t="str">
        <f>IFERROR(INDEX(Tickets!$A$2:$A$161,_xlfn.AGGREGATE(15,6,(ROW(Tickets!$G$2:$G$161)-ROW(Tickets!$G$2)+1)/(Tickets!$G$2:$G$161=$C$3),ROWS($C$4:C117)))&amp;" - "&amp;INDEX(Tickets!$E$2:$E$161,_xlfn.AGGREGATE(15,6,(ROW(Tickets!$G$2:$G$161)-ROW(Tickets!$G$2)+1)/(Tickets!$G$2:$G$161=$C$3),ROWS($C$4:C117))),"")</f>
        <v/>
      </c>
      <c r="D117" s="2"/>
      <c r="E117" s="16" t="str">
        <f>IFERROR(INDEX(Tickets!$A$2:$A$161,_xlfn.AGGREGATE(15,6,(ROW(Tickets!$G$2:$G$161)-ROW(Tickets!$G$2)+1)/(Tickets!$G$2:$G$161=$E$3),ROWS($E$4:E117)))&amp;" - "&amp;INDEX(Tickets!$E$2:$E$161,_xlfn.AGGREGATE(15,6,(ROW(Tickets!$G$2:$G$161)-ROW(Tickets!$G$2)+1)/(Tickets!$G$2:$G$161=$E$3),ROWS($E$4:E117))),"")</f>
        <v/>
      </c>
      <c r="F117" s="2"/>
      <c r="G117" s="16" t="str">
        <f>IFERROR(INDEX(Tickets!$A$2:$A$161,_xlfn.AGGREGATE(15,6,(ROW(Tickets!$G$2:$G$161)-ROW(Tickets!$G$2)+1)/(Tickets!$G$2:$G$161=$G$3),ROWS($G$4:G117)))&amp;" - "&amp;INDEX(Tickets!$E$2:$E$161,_xlfn.AGGREGATE(15,6,(ROW(Tickets!$G$2:$G$161)-ROW(Tickets!$G$2)+1)/(Tickets!$G$2:$G$161=$G$3),ROWS($G$4:G117))),"")</f>
        <v/>
      </c>
      <c r="H117" s="2"/>
      <c r="I117" s="16" t="str">
        <f>IFERROR(INDEX(Tickets!$A$2:$A$161,_xlfn.AGGREGATE(15,6,(ROW(Tickets!$G$2:$G$161)-ROW(Tickets!$G$2)+1)/(Tickets!$G$2:$G$161=$I$3),ROWS($I$4:I117)))&amp;" - "&amp;INDEX(Tickets!$E$2:$E$161,_xlfn.AGGREGATE(15,6,(ROW(Tickets!$G$2:$G$161)-ROW(Tickets!$G$2)+1)/(Tickets!$G$2:$G$161=$I$3),ROWS($I$4:I117))),"")</f>
        <v/>
      </c>
      <c r="J117" s="2"/>
    </row>
    <row r="118" spans="1:10" ht="36" customHeight="1" x14ac:dyDescent="0.2">
      <c r="A118" s="16" t="str">
        <f>IFERROR(INDEX(Tickets!$A$2:$A$161,_xlfn.AGGREGATE(15,6,(ROW(Tickets!$G$2:$G$161)-ROW(Tickets!$G$2)+1)/(Tickets!$G$2:$G$161=$A$3),ROWS($A$4:A118)))&amp;" - "&amp;INDEX(Tickets!$E$2:$E$161,_xlfn.AGGREGATE(15,6,(ROW(Tickets!$G$2:$G$161)-ROW(Tickets!$G$2)+1)/(Tickets!$G$2:$G$161=$A$3),ROWS($A$4:A118))),"")</f>
        <v>WPT-125 - Create notification center</v>
      </c>
      <c r="B118" s="2"/>
      <c r="C118" s="16" t="str">
        <f>IFERROR(INDEX(Tickets!$A$2:$A$161,_xlfn.AGGREGATE(15,6,(ROW(Tickets!$G$2:$G$161)-ROW(Tickets!$G$2)+1)/(Tickets!$G$2:$G$161=$C$3),ROWS($C$4:C118)))&amp;" - "&amp;INDEX(Tickets!$E$2:$E$161,_xlfn.AGGREGATE(15,6,(ROW(Tickets!$G$2:$G$161)-ROW(Tickets!$G$2)+1)/(Tickets!$G$2:$G$161=$C$3),ROWS($C$4:C118))),"")</f>
        <v/>
      </c>
      <c r="D118" s="2"/>
      <c r="E118" s="16" t="str">
        <f>IFERROR(INDEX(Tickets!$A$2:$A$161,_xlfn.AGGREGATE(15,6,(ROW(Tickets!$G$2:$G$161)-ROW(Tickets!$G$2)+1)/(Tickets!$G$2:$G$161=$E$3),ROWS($E$4:E118)))&amp;" - "&amp;INDEX(Tickets!$E$2:$E$161,_xlfn.AGGREGATE(15,6,(ROW(Tickets!$G$2:$G$161)-ROW(Tickets!$G$2)+1)/(Tickets!$G$2:$G$161=$E$3),ROWS($E$4:E118))),"")</f>
        <v/>
      </c>
      <c r="F118" s="2"/>
      <c r="G118" s="16" t="str">
        <f>IFERROR(INDEX(Tickets!$A$2:$A$161,_xlfn.AGGREGATE(15,6,(ROW(Tickets!$G$2:$G$161)-ROW(Tickets!$G$2)+1)/(Tickets!$G$2:$G$161=$G$3),ROWS($G$4:G118)))&amp;" - "&amp;INDEX(Tickets!$E$2:$E$161,_xlfn.AGGREGATE(15,6,(ROW(Tickets!$G$2:$G$161)-ROW(Tickets!$G$2)+1)/(Tickets!$G$2:$G$161=$G$3),ROWS($G$4:G118))),"")</f>
        <v/>
      </c>
      <c r="H118" s="2"/>
      <c r="I118" s="16" t="str">
        <f>IFERROR(INDEX(Tickets!$A$2:$A$161,_xlfn.AGGREGATE(15,6,(ROW(Tickets!$G$2:$G$161)-ROW(Tickets!$G$2)+1)/(Tickets!$G$2:$G$161=$I$3),ROWS($I$4:I118)))&amp;" - "&amp;INDEX(Tickets!$E$2:$E$161,_xlfn.AGGREGATE(15,6,(ROW(Tickets!$G$2:$G$161)-ROW(Tickets!$G$2)+1)/(Tickets!$G$2:$G$161=$I$3),ROWS($I$4:I118))),"")</f>
        <v/>
      </c>
      <c r="J118" s="2"/>
    </row>
    <row r="119" spans="1:10" ht="36" customHeight="1" x14ac:dyDescent="0.2">
      <c r="A119" s="16" t="str">
        <f>IFERROR(INDEX(Tickets!$A$2:$A$161,_xlfn.AGGREGATE(15,6,(ROW(Tickets!$G$2:$G$161)-ROW(Tickets!$G$2)+1)/(Tickets!$G$2:$G$161=$A$3),ROWS($A$4:A119)))&amp;" - "&amp;INDEX(Tickets!$E$2:$E$161,_xlfn.AGGREGATE(15,6,(ROW(Tickets!$G$2:$G$161)-ROW(Tickets!$G$2)+1)/(Tickets!$G$2:$G$161=$A$3),ROWS($A$4:A119))),"")</f>
        <v>WPT-126 - Create notifications UI</v>
      </c>
      <c r="B119" s="2"/>
      <c r="C119" s="16" t="str">
        <f>IFERROR(INDEX(Tickets!$A$2:$A$161,_xlfn.AGGREGATE(15,6,(ROW(Tickets!$G$2:$G$161)-ROW(Tickets!$G$2)+1)/(Tickets!$G$2:$G$161=$C$3),ROWS($C$4:C119)))&amp;" - "&amp;INDEX(Tickets!$E$2:$E$161,_xlfn.AGGREGATE(15,6,(ROW(Tickets!$G$2:$G$161)-ROW(Tickets!$G$2)+1)/(Tickets!$G$2:$G$161=$C$3),ROWS($C$4:C119))),"")</f>
        <v/>
      </c>
      <c r="D119" s="2"/>
      <c r="E119" s="16" t="str">
        <f>IFERROR(INDEX(Tickets!$A$2:$A$161,_xlfn.AGGREGATE(15,6,(ROW(Tickets!$G$2:$G$161)-ROW(Tickets!$G$2)+1)/(Tickets!$G$2:$G$161=$E$3),ROWS($E$4:E119)))&amp;" - "&amp;INDEX(Tickets!$E$2:$E$161,_xlfn.AGGREGATE(15,6,(ROW(Tickets!$G$2:$G$161)-ROW(Tickets!$G$2)+1)/(Tickets!$G$2:$G$161=$E$3),ROWS($E$4:E119))),"")</f>
        <v/>
      </c>
      <c r="F119" s="2"/>
      <c r="G119" s="16" t="str">
        <f>IFERROR(INDEX(Tickets!$A$2:$A$161,_xlfn.AGGREGATE(15,6,(ROW(Tickets!$G$2:$G$161)-ROW(Tickets!$G$2)+1)/(Tickets!$G$2:$G$161=$G$3),ROWS($G$4:G119)))&amp;" - "&amp;INDEX(Tickets!$E$2:$E$161,_xlfn.AGGREGATE(15,6,(ROW(Tickets!$G$2:$G$161)-ROW(Tickets!$G$2)+1)/(Tickets!$G$2:$G$161=$G$3),ROWS($G$4:G119))),"")</f>
        <v/>
      </c>
      <c r="H119" s="2"/>
      <c r="I119" s="16" t="str">
        <f>IFERROR(INDEX(Tickets!$A$2:$A$161,_xlfn.AGGREGATE(15,6,(ROW(Tickets!$G$2:$G$161)-ROW(Tickets!$G$2)+1)/(Tickets!$G$2:$G$161=$I$3),ROWS($I$4:I119)))&amp;" - "&amp;INDEX(Tickets!$E$2:$E$161,_xlfn.AGGREGATE(15,6,(ROW(Tickets!$G$2:$G$161)-ROW(Tickets!$G$2)+1)/(Tickets!$G$2:$G$161=$I$3),ROWS($I$4:I119))),"")</f>
        <v/>
      </c>
      <c r="J119" s="2"/>
    </row>
    <row r="120" spans="1:10" ht="36" customHeight="1" x14ac:dyDescent="0.2">
      <c r="A120" s="16" t="str">
        <f>IFERROR(INDEX(Tickets!$A$2:$A$161,_xlfn.AGGREGATE(15,6,(ROW(Tickets!$G$2:$G$161)-ROW(Tickets!$G$2)+1)/(Tickets!$G$2:$G$161=$A$3),ROWS($A$4:A120)))&amp;" - "&amp;INDEX(Tickets!$E$2:$E$161,_xlfn.AGGREGATE(15,6,(ROW(Tickets!$G$2:$G$161)-ROW(Tickets!$G$2)+1)/(Tickets!$G$2:$G$161=$A$3),ROWS($A$4:A120))),"")</f>
        <v>WPT-127 - Create notification API</v>
      </c>
      <c r="B120" s="2"/>
      <c r="C120" s="16" t="str">
        <f>IFERROR(INDEX(Tickets!$A$2:$A$161,_xlfn.AGGREGATE(15,6,(ROW(Tickets!$G$2:$G$161)-ROW(Tickets!$G$2)+1)/(Tickets!$G$2:$G$161=$C$3),ROWS($C$4:C120)))&amp;" - "&amp;INDEX(Tickets!$E$2:$E$161,_xlfn.AGGREGATE(15,6,(ROW(Tickets!$G$2:$G$161)-ROW(Tickets!$G$2)+1)/(Tickets!$G$2:$G$161=$C$3),ROWS($C$4:C120))),"")</f>
        <v/>
      </c>
      <c r="D120" s="2"/>
      <c r="E120" s="16" t="str">
        <f>IFERROR(INDEX(Tickets!$A$2:$A$161,_xlfn.AGGREGATE(15,6,(ROW(Tickets!$G$2:$G$161)-ROW(Tickets!$G$2)+1)/(Tickets!$G$2:$G$161=$E$3),ROWS($E$4:E120)))&amp;" - "&amp;INDEX(Tickets!$E$2:$E$161,_xlfn.AGGREGATE(15,6,(ROW(Tickets!$G$2:$G$161)-ROW(Tickets!$G$2)+1)/(Tickets!$G$2:$G$161=$E$3),ROWS($E$4:E120))),"")</f>
        <v/>
      </c>
      <c r="F120" s="2"/>
      <c r="G120" s="16" t="str">
        <f>IFERROR(INDEX(Tickets!$A$2:$A$161,_xlfn.AGGREGATE(15,6,(ROW(Tickets!$G$2:$G$161)-ROW(Tickets!$G$2)+1)/(Tickets!$G$2:$G$161=$G$3),ROWS($G$4:G120)))&amp;" - "&amp;INDEX(Tickets!$E$2:$E$161,_xlfn.AGGREGATE(15,6,(ROW(Tickets!$G$2:$G$161)-ROW(Tickets!$G$2)+1)/(Tickets!$G$2:$G$161=$G$3),ROWS($G$4:G120))),"")</f>
        <v/>
      </c>
      <c r="H120" s="2"/>
      <c r="I120" s="16" t="str">
        <f>IFERROR(INDEX(Tickets!$A$2:$A$161,_xlfn.AGGREGATE(15,6,(ROW(Tickets!$G$2:$G$161)-ROW(Tickets!$G$2)+1)/(Tickets!$G$2:$G$161=$I$3),ROWS($I$4:I120)))&amp;" - "&amp;INDEX(Tickets!$E$2:$E$161,_xlfn.AGGREGATE(15,6,(ROW(Tickets!$G$2:$G$161)-ROW(Tickets!$G$2)+1)/(Tickets!$G$2:$G$161=$I$3),ROWS($I$4:I120))),"")</f>
        <v/>
      </c>
      <c r="J120" s="2"/>
    </row>
    <row r="121" spans="1:10" ht="36" customHeight="1" x14ac:dyDescent="0.2">
      <c r="A121" s="16" t="str">
        <f>IFERROR(INDEX(Tickets!$A$2:$A$161,_xlfn.AGGREGATE(15,6,(ROW(Tickets!$G$2:$G$161)-ROW(Tickets!$G$2)+1)/(Tickets!$G$2:$G$161=$A$3),ROWS($A$4:A121)))&amp;" - "&amp;INDEX(Tickets!$E$2:$E$161,_xlfn.AGGREGATE(15,6,(ROW(Tickets!$G$2:$G$161)-ROW(Tickets!$G$2)+1)/(Tickets!$G$2:$G$161=$A$3),ROWS($A$4:A121))),"")</f>
        <v>WPT-128 - Show unread notification count</v>
      </c>
      <c r="B121" s="2"/>
      <c r="C121" s="16" t="str">
        <f>IFERROR(INDEX(Tickets!$A$2:$A$161,_xlfn.AGGREGATE(15,6,(ROW(Tickets!$G$2:$G$161)-ROW(Tickets!$G$2)+1)/(Tickets!$G$2:$G$161=$C$3),ROWS($C$4:C121)))&amp;" - "&amp;INDEX(Tickets!$E$2:$E$161,_xlfn.AGGREGATE(15,6,(ROW(Tickets!$G$2:$G$161)-ROW(Tickets!$G$2)+1)/(Tickets!$G$2:$G$161=$C$3),ROWS($C$4:C121))),"")</f>
        <v/>
      </c>
      <c r="D121" s="2"/>
      <c r="E121" s="16" t="str">
        <f>IFERROR(INDEX(Tickets!$A$2:$A$161,_xlfn.AGGREGATE(15,6,(ROW(Tickets!$G$2:$G$161)-ROW(Tickets!$G$2)+1)/(Tickets!$G$2:$G$161=$E$3),ROWS($E$4:E121)))&amp;" - "&amp;INDEX(Tickets!$E$2:$E$161,_xlfn.AGGREGATE(15,6,(ROW(Tickets!$G$2:$G$161)-ROW(Tickets!$G$2)+1)/(Tickets!$G$2:$G$161=$E$3),ROWS($E$4:E121))),"")</f>
        <v/>
      </c>
      <c r="F121" s="2"/>
      <c r="G121" s="16" t="str">
        <f>IFERROR(INDEX(Tickets!$A$2:$A$161,_xlfn.AGGREGATE(15,6,(ROW(Tickets!$G$2:$G$161)-ROW(Tickets!$G$2)+1)/(Tickets!$G$2:$G$161=$G$3),ROWS($G$4:G121)))&amp;" - "&amp;INDEX(Tickets!$E$2:$E$161,_xlfn.AGGREGATE(15,6,(ROW(Tickets!$G$2:$G$161)-ROW(Tickets!$G$2)+1)/(Tickets!$G$2:$G$161=$G$3),ROWS($G$4:G121))),"")</f>
        <v/>
      </c>
      <c r="H121" s="2"/>
      <c r="I121" s="16" t="str">
        <f>IFERROR(INDEX(Tickets!$A$2:$A$161,_xlfn.AGGREGATE(15,6,(ROW(Tickets!$G$2:$G$161)-ROW(Tickets!$G$2)+1)/(Tickets!$G$2:$G$161=$I$3),ROWS($I$4:I121)))&amp;" - "&amp;INDEX(Tickets!$E$2:$E$161,_xlfn.AGGREGATE(15,6,(ROW(Tickets!$G$2:$G$161)-ROW(Tickets!$G$2)+1)/(Tickets!$G$2:$G$161=$I$3),ROWS($I$4:I121))),"")</f>
        <v/>
      </c>
      <c r="J121" s="2"/>
    </row>
    <row r="122" spans="1:10" ht="36" customHeight="1" x14ac:dyDescent="0.2">
      <c r="A122" s="16" t="str">
        <f>IFERROR(INDEX(Tickets!$A$2:$A$161,_xlfn.AGGREGATE(15,6,(ROW(Tickets!$G$2:$G$161)-ROW(Tickets!$G$2)+1)/(Tickets!$G$2:$G$161=$A$3),ROWS($A$4:A122)))&amp;" - "&amp;INDEX(Tickets!$E$2:$E$161,_xlfn.AGGREGATE(15,6,(ROW(Tickets!$G$2:$G$161)-ROW(Tickets!$G$2)+1)/(Tickets!$G$2:$G$161=$A$3),ROWS($A$4:A122))),"")</f>
        <v>WPT-129 - Contact WayPoint Support</v>
      </c>
      <c r="B122" s="2"/>
      <c r="C122" s="16" t="str">
        <f>IFERROR(INDEX(Tickets!$A$2:$A$161,_xlfn.AGGREGATE(15,6,(ROW(Tickets!$G$2:$G$161)-ROW(Tickets!$G$2)+1)/(Tickets!$G$2:$G$161=$C$3),ROWS($C$4:C122)))&amp;" - "&amp;INDEX(Tickets!$E$2:$E$161,_xlfn.AGGREGATE(15,6,(ROW(Tickets!$G$2:$G$161)-ROW(Tickets!$G$2)+1)/(Tickets!$G$2:$G$161=$C$3),ROWS($C$4:C122))),"")</f>
        <v/>
      </c>
      <c r="D122" s="2"/>
      <c r="E122" s="16" t="str">
        <f>IFERROR(INDEX(Tickets!$A$2:$A$161,_xlfn.AGGREGATE(15,6,(ROW(Tickets!$G$2:$G$161)-ROW(Tickets!$G$2)+1)/(Tickets!$G$2:$G$161=$E$3),ROWS($E$4:E122)))&amp;" - "&amp;INDEX(Tickets!$E$2:$E$161,_xlfn.AGGREGATE(15,6,(ROW(Tickets!$G$2:$G$161)-ROW(Tickets!$G$2)+1)/(Tickets!$G$2:$G$161=$E$3),ROWS($E$4:E122))),"")</f>
        <v/>
      </c>
      <c r="F122" s="2"/>
      <c r="G122" s="16" t="str">
        <f>IFERROR(INDEX(Tickets!$A$2:$A$161,_xlfn.AGGREGATE(15,6,(ROW(Tickets!$G$2:$G$161)-ROW(Tickets!$G$2)+1)/(Tickets!$G$2:$G$161=$G$3),ROWS($G$4:G122)))&amp;" - "&amp;INDEX(Tickets!$E$2:$E$161,_xlfn.AGGREGATE(15,6,(ROW(Tickets!$G$2:$G$161)-ROW(Tickets!$G$2)+1)/(Tickets!$G$2:$G$161=$G$3),ROWS($G$4:G122))),"")</f>
        <v/>
      </c>
      <c r="H122" s="2"/>
      <c r="I122" s="16" t="str">
        <f>IFERROR(INDEX(Tickets!$A$2:$A$161,_xlfn.AGGREGATE(15,6,(ROW(Tickets!$G$2:$G$161)-ROW(Tickets!$G$2)+1)/(Tickets!$G$2:$G$161=$I$3),ROWS($I$4:I122)))&amp;" - "&amp;INDEX(Tickets!$E$2:$E$161,_xlfn.AGGREGATE(15,6,(ROW(Tickets!$G$2:$G$161)-ROW(Tickets!$G$2)+1)/(Tickets!$G$2:$G$161=$I$3),ROWS($I$4:I122))),"")</f>
        <v/>
      </c>
      <c r="J122" s="2"/>
    </row>
    <row r="123" spans="1:10" ht="36" customHeight="1" x14ac:dyDescent="0.2">
      <c r="A123" s="16" t="str">
        <f>IFERROR(INDEX(Tickets!$A$2:$A$161,_xlfn.AGGREGATE(15,6,(ROW(Tickets!$G$2:$G$161)-ROW(Tickets!$G$2)+1)/(Tickets!$G$2:$G$161=$A$3),ROWS($A$4:A123)))&amp;" - "&amp;INDEX(Tickets!$E$2:$E$161,_xlfn.AGGREGATE(15,6,(ROW(Tickets!$G$2:$G$161)-ROW(Tickets!$G$2)+1)/(Tickets!$G$2:$G$161=$A$3),ROWS($A$4:A123))),"")</f>
        <v>WPT-130 - Create Contact Us page</v>
      </c>
      <c r="B123" s="2"/>
      <c r="C123" s="16" t="str">
        <f>IFERROR(INDEX(Tickets!$A$2:$A$161,_xlfn.AGGREGATE(15,6,(ROW(Tickets!$G$2:$G$161)-ROW(Tickets!$G$2)+1)/(Tickets!$G$2:$G$161=$C$3),ROWS($C$4:C123)))&amp;" - "&amp;INDEX(Tickets!$E$2:$E$161,_xlfn.AGGREGATE(15,6,(ROW(Tickets!$G$2:$G$161)-ROW(Tickets!$G$2)+1)/(Tickets!$G$2:$G$161=$C$3),ROWS($C$4:C123))),"")</f>
        <v/>
      </c>
      <c r="D123" s="2"/>
      <c r="E123" s="16" t="str">
        <f>IFERROR(INDEX(Tickets!$A$2:$A$161,_xlfn.AGGREGATE(15,6,(ROW(Tickets!$G$2:$G$161)-ROW(Tickets!$G$2)+1)/(Tickets!$G$2:$G$161=$E$3),ROWS($E$4:E123)))&amp;" - "&amp;INDEX(Tickets!$E$2:$E$161,_xlfn.AGGREGATE(15,6,(ROW(Tickets!$G$2:$G$161)-ROW(Tickets!$G$2)+1)/(Tickets!$G$2:$G$161=$E$3),ROWS($E$4:E123))),"")</f>
        <v/>
      </c>
      <c r="F123" s="2"/>
      <c r="G123" s="16" t="str">
        <f>IFERROR(INDEX(Tickets!$A$2:$A$161,_xlfn.AGGREGATE(15,6,(ROW(Tickets!$G$2:$G$161)-ROW(Tickets!$G$2)+1)/(Tickets!$G$2:$G$161=$G$3),ROWS($G$4:G123)))&amp;" - "&amp;INDEX(Tickets!$E$2:$E$161,_xlfn.AGGREGATE(15,6,(ROW(Tickets!$G$2:$G$161)-ROW(Tickets!$G$2)+1)/(Tickets!$G$2:$G$161=$G$3),ROWS($G$4:G123))),"")</f>
        <v/>
      </c>
      <c r="H123" s="2"/>
      <c r="I123" s="16" t="str">
        <f>IFERROR(INDEX(Tickets!$A$2:$A$161,_xlfn.AGGREGATE(15,6,(ROW(Tickets!$G$2:$G$161)-ROW(Tickets!$G$2)+1)/(Tickets!$G$2:$G$161=$I$3),ROWS($I$4:I123)))&amp;" - "&amp;INDEX(Tickets!$E$2:$E$161,_xlfn.AGGREGATE(15,6,(ROW(Tickets!$G$2:$G$161)-ROW(Tickets!$G$2)+1)/(Tickets!$G$2:$G$161=$I$3),ROWS($I$4:I123))),"")</f>
        <v/>
      </c>
      <c r="J123" s="2"/>
    </row>
    <row r="124" spans="1:10" ht="36" customHeight="1" x14ac:dyDescent="0.2">
      <c r="A124" s="16" t="str">
        <f>IFERROR(INDEX(Tickets!$A$2:$A$161,_xlfn.AGGREGATE(15,6,(ROW(Tickets!$G$2:$G$161)-ROW(Tickets!$G$2)+1)/(Tickets!$G$2:$G$161=$A$3),ROWS($A$4:A124)))&amp;" - "&amp;INDEX(Tickets!$E$2:$E$161,_xlfn.AGGREGATE(15,6,(ROW(Tickets!$G$2:$G$161)-ROW(Tickets!$G$2)+1)/(Tickets!$G$2:$G$161=$A$3),ROWS($A$4:A124))),"")</f>
        <v>WPT-131 - Create contact form UI</v>
      </c>
      <c r="B124" s="2"/>
      <c r="C124" s="16" t="str">
        <f>IFERROR(INDEX(Tickets!$A$2:$A$161,_xlfn.AGGREGATE(15,6,(ROW(Tickets!$G$2:$G$161)-ROW(Tickets!$G$2)+1)/(Tickets!$G$2:$G$161=$C$3),ROWS($C$4:C124)))&amp;" - "&amp;INDEX(Tickets!$E$2:$E$161,_xlfn.AGGREGATE(15,6,(ROW(Tickets!$G$2:$G$161)-ROW(Tickets!$G$2)+1)/(Tickets!$G$2:$G$161=$C$3),ROWS($C$4:C124))),"")</f>
        <v/>
      </c>
      <c r="D124" s="2"/>
      <c r="E124" s="16" t="str">
        <f>IFERROR(INDEX(Tickets!$A$2:$A$161,_xlfn.AGGREGATE(15,6,(ROW(Tickets!$G$2:$G$161)-ROW(Tickets!$G$2)+1)/(Tickets!$G$2:$G$161=$E$3),ROWS($E$4:E124)))&amp;" - "&amp;INDEX(Tickets!$E$2:$E$161,_xlfn.AGGREGATE(15,6,(ROW(Tickets!$G$2:$G$161)-ROW(Tickets!$G$2)+1)/(Tickets!$G$2:$G$161=$E$3),ROWS($E$4:E124))),"")</f>
        <v/>
      </c>
      <c r="F124" s="2"/>
      <c r="G124" s="16" t="str">
        <f>IFERROR(INDEX(Tickets!$A$2:$A$161,_xlfn.AGGREGATE(15,6,(ROW(Tickets!$G$2:$G$161)-ROW(Tickets!$G$2)+1)/(Tickets!$G$2:$G$161=$G$3),ROWS($G$4:G124)))&amp;" - "&amp;INDEX(Tickets!$E$2:$E$161,_xlfn.AGGREGATE(15,6,(ROW(Tickets!$G$2:$G$161)-ROW(Tickets!$G$2)+1)/(Tickets!$G$2:$G$161=$G$3),ROWS($G$4:G124))),"")</f>
        <v/>
      </c>
      <c r="H124" s="2"/>
      <c r="I124" s="16" t="str">
        <f>IFERROR(INDEX(Tickets!$A$2:$A$161,_xlfn.AGGREGATE(15,6,(ROW(Tickets!$G$2:$G$161)-ROW(Tickets!$G$2)+1)/(Tickets!$G$2:$G$161=$I$3),ROWS($I$4:I124)))&amp;" - "&amp;INDEX(Tickets!$E$2:$E$161,_xlfn.AGGREGATE(15,6,(ROW(Tickets!$G$2:$G$161)-ROW(Tickets!$G$2)+1)/(Tickets!$G$2:$G$161=$I$3),ROWS($I$4:I124))),"")</f>
        <v/>
      </c>
      <c r="J124" s="2"/>
    </row>
    <row r="125" spans="1:10" ht="36" customHeight="1" x14ac:dyDescent="0.2">
      <c r="A125" s="16" t="str">
        <f>IFERROR(INDEX(Tickets!$A$2:$A$161,_xlfn.AGGREGATE(15,6,(ROW(Tickets!$G$2:$G$161)-ROW(Tickets!$G$2)+1)/(Tickets!$G$2:$G$161=$A$3),ROWS($A$4:A125)))&amp;" - "&amp;INDEX(Tickets!$E$2:$E$161,_xlfn.AGGREGATE(15,6,(ROW(Tickets!$G$2:$G$161)-ROW(Tickets!$G$2)+1)/(Tickets!$G$2:$G$161=$A$3),ROWS($A$4:A125))),"")</f>
        <v>WPT-132 - Create submit support ticket API</v>
      </c>
      <c r="B125" s="2"/>
      <c r="C125" s="16" t="str">
        <f>IFERROR(INDEX(Tickets!$A$2:$A$161,_xlfn.AGGREGATE(15,6,(ROW(Tickets!$G$2:$G$161)-ROW(Tickets!$G$2)+1)/(Tickets!$G$2:$G$161=$C$3),ROWS($C$4:C125)))&amp;" - "&amp;INDEX(Tickets!$E$2:$E$161,_xlfn.AGGREGATE(15,6,(ROW(Tickets!$G$2:$G$161)-ROW(Tickets!$G$2)+1)/(Tickets!$G$2:$G$161=$C$3),ROWS($C$4:C125))),"")</f>
        <v/>
      </c>
      <c r="D125" s="2"/>
      <c r="E125" s="16" t="str">
        <f>IFERROR(INDEX(Tickets!$A$2:$A$161,_xlfn.AGGREGATE(15,6,(ROW(Tickets!$G$2:$G$161)-ROW(Tickets!$G$2)+1)/(Tickets!$G$2:$G$161=$E$3),ROWS($E$4:E125)))&amp;" - "&amp;INDEX(Tickets!$E$2:$E$161,_xlfn.AGGREGATE(15,6,(ROW(Tickets!$G$2:$G$161)-ROW(Tickets!$G$2)+1)/(Tickets!$G$2:$G$161=$E$3),ROWS($E$4:E125))),"")</f>
        <v/>
      </c>
      <c r="F125" s="2"/>
      <c r="G125" s="16" t="str">
        <f>IFERROR(INDEX(Tickets!$A$2:$A$161,_xlfn.AGGREGATE(15,6,(ROW(Tickets!$G$2:$G$161)-ROW(Tickets!$G$2)+1)/(Tickets!$G$2:$G$161=$G$3),ROWS($G$4:G125)))&amp;" - "&amp;INDEX(Tickets!$E$2:$E$161,_xlfn.AGGREGATE(15,6,(ROW(Tickets!$G$2:$G$161)-ROW(Tickets!$G$2)+1)/(Tickets!$G$2:$G$161=$G$3),ROWS($G$4:G125))),"")</f>
        <v/>
      </c>
      <c r="H125" s="2"/>
      <c r="I125" s="16" t="str">
        <f>IFERROR(INDEX(Tickets!$A$2:$A$161,_xlfn.AGGREGATE(15,6,(ROW(Tickets!$G$2:$G$161)-ROW(Tickets!$G$2)+1)/(Tickets!$G$2:$G$161=$I$3),ROWS($I$4:I125)))&amp;" - "&amp;INDEX(Tickets!$E$2:$E$161,_xlfn.AGGREGATE(15,6,(ROW(Tickets!$G$2:$G$161)-ROW(Tickets!$G$2)+1)/(Tickets!$G$2:$G$161=$I$3),ROWS($I$4:I125))),"")</f>
        <v/>
      </c>
      <c r="J125" s="2"/>
    </row>
    <row r="126" spans="1:10" ht="36" customHeight="1" x14ac:dyDescent="0.2">
      <c r="A126" s="16" t="str">
        <f>IFERROR(INDEX(Tickets!$A$2:$A$161,_xlfn.AGGREGATE(15,6,(ROW(Tickets!$G$2:$G$161)-ROW(Tickets!$G$2)+1)/(Tickets!$G$2:$G$161=$A$3),ROWS($A$4:A126)))&amp;" - "&amp;INDEX(Tickets!$E$2:$E$161,_xlfn.AGGREGATE(15,6,(ROW(Tickets!$G$2:$G$161)-ROW(Tickets!$G$2)+1)/(Tickets!$G$2:$G$161=$A$3),ROWS($A$4:A126))),"")</f>
        <v>WPT-133 - Create confirmation message after submission</v>
      </c>
      <c r="B126" s="2"/>
      <c r="C126" s="16" t="str">
        <f>IFERROR(INDEX(Tickets!$A$2:$A$161,_xlfn.AGGREGATE(15,6,(ROW(Tickets!$G$2:$G$161)-ROW(Tickets!$G$2)+1)/(Tickets!$G$2:$G$161=$C$3),ROWS($C$4:C126)))&amp;" - "&amp;INDEX(Tickets!$E$2:$E$161,_xlfn.AGGREGATE(15,6,(ROW(Tickets!$G$2:$G$161)-ROW(Tickets!$G$2)+1)/(Tickets!$G$2:$G$161=$C$3),ROWS($C$4:C126))),"")</f>
        <v/>
      </c>
      <c r="D126" s="2"/>
      <c r="E126" s="16" t="str">
        <f>IFERROR(INDEX(Tickets!$A$2:$A$161,_xlfn.AGGREGATE(15,6,(ROW(Tickets!$G$2:$G$161)-ROW(Tickets!$G$2)+1)/(Tickets!$G$2:$G$161=$E$3),ROWS($E$4:E126)))&amp;" - "&amp;INDEX(Tickets!$E$2:$E$161,_xlfn.AGGREGATE(15,6,(ROW(Tickets!$G$2:$G$161)-ROW(Tickets!$G$2)+1)/(Tickets!$G$2:$G$161=$E$3),ROWS($E$4:E126))),"")</f>
        <v/>
      </c>
      <c r="F126" s="2"/>
      <c r="G126" s="16" t="str">
        <f>IFERROR(INDEX(Tickets!$A$2:$A$161,_xlfn.AGGREGATE(15,6,(ROW(Tickets!$G$2:$G$161)-ROW(Tickets!$G$2)+1)/(Tickets!$G$2:$G$161=$G$3),ROWS($G$4:G126)))&amp;" - "&amp;INDEX(Tickets!$E$2:$E$161,_xlfn.AGGREGATE(15,6,(ROW(Tickets!$G$2:$G$161)-ROW(Tickets!$G$2)+1)/(Tickets!$G$2:$G$161=$G$3),ROWS($G$4:G126))),"")</f>
        <v/>
      </c>
      <c r="H126" s="2"/>
      <c r="I126" s="16" t="str">
        <f>IFERROR(INDEX(Tickets!$A$2:$A$161,_xlfn.AGGREGATE(15,6,(ROW(Tickets!$G$2:$G$161)-ROW(Tickets!$G$2)+1)/(Tickets!$G$2:$G$161=$I$3),ROWS($I$4:I126)))&amp;" - "&amp;INDEX(Tickets!$E$2:$E$161,_xlfn.AGGREGATE(15,6,(ROW(Tickets!$G$2:$G$161)-ROW(Tickets!$G$2)+1)/(Tickets!$G$2:$G$161=$I$3),ROWS($I$4:I126))),"")</f>
        <v/>
      </c>
      <c r="J126" s="2"/>
    </row>
    <row r="127" spans="1:10" ht="36" customHeight="1" x14ac:dyDescent="0.2">
      <c r="A127" s="16" t="str">
        <f>IFERROR(INDEX(Tickets!$A$2:$A$161,_xlfn.AGGREGATE(15,6,(ROW(Tickets!$G$2:$G$161)-ROW(Tickets!$G$2)+1)/(Tickets!$G$2:$G$161=$A$3),ROWS($A$4:A127)))&amp;" - "&amp;INDEX(Tickets!$E$2:$E$161,_xlfn.AGGREGATE(15,6,(ROW(Tickets!$G$2:$G$161)-ROW(Tickets!$G$2)+1)/(Tickets!$G$2:$G$161=$A$3),ROWS($A$4:A127))),"")</f>
        <v>WPT-134 - Create support ticket ID generation</v>
      </c>
      <c r="B127" s="2"/>
      <c r="C127" s="16" t="str">
        <f>IFERROR(INDEX(Tickets!$A$2:$A$161,_xlfn.AGGREGATE(15,6,(ROW(Tickets!$G$2:$G$161)-ROW(Tickets!$G$2)+1)/(Tickets!$G$2:$G$161=$C$3),ROWS($C$4:C127)))&amp;" - "&amp;INDEX(Tickets!$E$2:$E$161,_xlfn.AGGREGATE(15,6,(ROW(Tickets!$G$2:$G$161)-ROW(Tickets!$G$2)+1)/(Tickets!$G$2:$G$161=$C$3),ROWS($C$4:C127))),"")</f>
        <v/>
      </c>
      <c r="D127" s="2"/>
      <c r="E127" s="16" t="str">
        <f>IFERROR(INDEX(Tickets!$A$2:$A$161,_xlfn.AGGREGATE(15,6,(ROW(Tickets!$G$2:$G$161)-ROW(Tickets!$G$2)+1)/(Tickets!$G$2:$G$161=$E$3),ROWS($E$4:E127)))&amp;" - "&amp;INDEX(Tickets!$E$2:$E$161,_xlfn.AGGREGATE(15,6,(ROW(Tickets!$G$2:$G$161)-ROW(Tickets!$G$2)+1)/(Tickets!$G$2:$G$161=$E$3),ROWS($E$4:E127))),"")</f>
        <v/>
      </c>
      <c r="F127" s="2"/>
      <c r="G127" s="16" t="str">
        <f>IFERROR(INDEX(Tickets!$A$2:$A$161,_xlfn.AGGREGATE(15,6,(ROW(Tickets!$G$2:$G$161)-ROW(Tickets!$G$2)+1)/(Tickets!$G$2:$G$161=$G$3),ROWS($G$4:G127)))&amp;" - "&amp;INDEX(Tickets!$E$2:$E$161,_xlfn.AGGREGATE(15,6,(ROW(Tickets!$G$2:$G$161)-ROW(Tickets!$G$2)+1)/(Tickets!$G$2:$G$161=$G$3),ROWS($G$4:G127))),"")</f>
        <v/>
      </c>
      <c r="H127" s="2"/>
      <c r="I127" s="16" t="str">
        <f>IFERROR(INDEX(Tickets!$A$2:$A$161,_xlfn.AGGREGATE(15,6,(ROW(Tickets!$G$2:$G$161)-ROW(Tickets!$G$2)+1)/(Tickets!$G$2:$G$161=$I$3),ROWS($I$4:I127)))&amp;" - "&amp;INDEX(Tickets!$E$2:$E$161,_xlfn.AGGREGATE(15,6,(ROW(Tickets!$G$2:$G$161)-ROW(Tickets!$G$2)+1)/(Tickets!$G$2:$G$161=$I$3),ROWS($I$4:I127))),"")</f>
        <v/>
      </c>
      <c r="J127" s="2"/>
    </row>
    <row r="128" spans="1:10" ht="36" customHeight="1" x14ac:dyDescent="0.2">
      <c r="A128" s="16" t="str">
        <f>IFERROR(INDEX(Tickets!$A$2:$A$161,_xlfn.AGGREGATE(15,6,(ROW(Tickets!$G$2:$G$161)-ROW(Tickets!$G$2)+1)/(Tickets!$G$2:$G$161=$A$3),ROWS($A$4:A128)))&amp;" - "&amp;INDEX(Tickets!$E$2:$E$161,_xlfn.AGGREGATE(15,6,(ROW(Tickets!$G$2:$G$161)-ROW(Tickets!$G$2)+1)/(Tickets!$G$2:$G$161=$A$3),ROWS($A$4:A128))),"")</f>
        <v>WPT-135 - Database Tables and Core APIs</v>
      </c>
      <c r="B128" s="2"/>
      <c r="C128" s="16" t="str">
        <f>IFERROR(INDEX(Tickets!$A$2:$A$161,_xlfn.AGGREGATE(15,6,(ROW(Tickets!$G$2:$G$161)-ROW(Tickets!$G$2)+1)/(Tickets!$G$2:$G$161=$C$3),ROWS($C$4:C128)))&amp;" - "&amp;INDEX(Tickets!$E$2:$E$161,_xlfn.AGGREGATE(15,6,(ROW(Tickets!$G$2:$G$161)-ROW(Tickets!$G$2)+1)/(Tickets!$G$2:$G$161=$C$3),ROWS($C$4:C128))),"")</f>
        <v/>
      </c>
      <c r="D128" s="2"/>
      <c r="E128" s="16" t="str">
        <f>IFERROR(INDEX(Tickets!$A$2:$A$161,_xlfn.AGGREGATE(15,6,(ROW(Tickets!$G$2:$G$161)-ROW(Tickets!$G$2)+1)/(Tickets!$G$2:$G$161=$E$3),ROWS($E$4:E128)))&amp;" - "&amp;INDEX(Tickets!$E$2:$E$161,_xlfn.AGGREGATE(15,6,(ROW(Tickets!$G$2:$G$161)-ROW(Tickets!$G$2)+1)/(Tickets!$G$2:$G$161=$E$3),ROWS($E$4:E128))),"")</f>
        <v/>
      </c>
      <c r="F128" s="2"/>
      <c r="G128" s="16" t="str">
        <f>IFERROR(INDEX(Tickets!$A$2:$A$161,_xlfn.AGGREGATE(15,6,(ROW(Tickets!$G$2:$G$161)-ROW(Tickets!$G$2)+1)/(Tickets!$G$2:$G$161=$G$3),ROWS($G$4:G128)))&amp;" - "&amp;INDEX(Tickets!$E$2:$E$161,_xlfn.AGGREGATE(15,6,(ROW(Tickets!$G$2:$G$161)-ROW(Tickets!$G$2)+1)/(Tickets!$G$2:$G$161=$G$3),ROWS($G$4:G128))),"")</f>
        <v/>
      </c>
      <c r="H128" s="2"/>
      <c r="I128" s="16" t="str">
        <f>IFERROR(INDEX(Tickets!$A$2:$A$161,_xlfn.AGGREGATE(15,6,(ROW(Tickets!$G$2:$G$161)-ROW(Tickets!$G$2)+1)/(Tickets!$G$2:$G$161=$I$3),ROWS($I$4:I128)))&amp;" - "&amp;INDEX(Tickets!$E$2:$E$161,_xlfn.AGGREGATE(15,6,(ROW(Tickets!$G$2:$G$161)-ROW(Tickets!$G$2)+1)/(Tickets!$G$2:$G$161=$I$3),ROWS($I$4:I128))),"")</f>
        <v/>
      </c>
      <c r="J128" s="2"/>
    </row>
    <row r="129" spans="1:10" ht="36" customHeight="1" x14ac:dyDescent="0.2">
      <c r="A129" s="16" t="str">
        <f>IFERROR(INDEX(Tickets!$A$2:$A$161,_xlfn.AGGREGATE(15,6,(ROW(Tickets!$G$2:$G$161)-ROW(Tickets!$G$2)+1)/(Tickets!$G$2:$G$161=$A$3),ROWS($A$4:A129)))&amp;" - "&amp;INDEX(Tickets!$E$2:$E$161,_xlfn.AGGREGATE(15,6,(ROW(Tickets!$G$2:$G$161)-ROW(Tickets!$G$2)+1)/(Tickets!$G$2:$G$161=$A$3),ROWS($A$4:A129))),"")</f>
        <v>WPT-136 - Create user and role data model</v>
      </c>
      <c r="B129" s="2"/>
      <c r="C129" s="16" t="str">
        <f>IFERROR(INDEX(Tickets!$A$2:$A$161,_xlfn.AGGREGATE(15,6,(ROW(Tickets!$G$2:$G$161)-ROW(Tickets!$G$2)+1)/(Tickets!$G$2:$G$161=$C$3),ROWS($C$4:C129)))&amp;" - "&amp;INDEX(Tickets!$E$2:$E$161,_xlfn.AGGREGATE(15,6,(ROW(Tickets!$G$2:$G$161)-ROW(Tickets!$G$2)+1)/(Tickets!$G$2:$G$161=$C$3),ROWS($C$4:C129))),"")</f>
        <v/>
      </c>
      <c r="D129" s="2"/>
      <c r="E129" s="16" t="str">
        <f>IFERROR(INDEX(Tickets!$A$2:$A$161,_xlfn.AGGREGATE(15,6,(ROW(Tickets!$G$2:$G$161)-ROW(Tickets!$G$2)+1)/(Tickets!$G$2:$G$161=$E$3),ROWS($E$4:E129)))&amp;" - "&amp;INDEX(Tickets!$E$2:$E$161,_xlfn.AGGREGATE(15,6,(ROW(Tickets!$G$2:$G$161)-ROW(Tickets!$G$2)+1)/(Tickets!$G$2:$G$161=$E$3),ROWS($E$4:E129))),"")</f>
        <v/>
      </c>
      <c r="F129" s="2"/>
      <c r="G129" s="16" t="str">
        <f>IFERROR(INDEX(Tickets!$A$2:$A$161,_xlfn.AGGREGATE(15,6,(ROW(Tickets!$G$2:$G$161)-ROW(Tickets!$G$2)+1)/(Tickets!$G$2:$G$161=$G$3),ROWS($G$4:G129)))&amp;" - "&amp;INDEX(Tickets!$E$2:$E$161,_xlfn.AGGREGATE(15,6,(ROW(Tickets!$G$2:$G$161)-ROW(Tickets!$G$2)+1)/(Tickets!$G$2:$G$161=$G$3),ROWS($G$4:G129))),"")</f>
        <v/>
      </c>
      <c r="H129" s="2"/>
      <c r="I129" s="16" t="str">
        <f>IFERROR(INDEX(Tickets!$A$2:$A$161,_xlfn.AGGREGATE(15,6,(ROW(Tickets!$G$2:$G$161)-ROW(Tickets!$G$2)+1)/(Tickets!$G$2:$G$161=$I$3),ROWS($I$4:I129)))&amp;" - "&amp;INDEX(Tickets!$E$2:$E$161,_xlfn.AGGREGATE(15,6,(ROW(Tickets!$G$2:$G$161)-ROW(Tickets!$G$2)+1)/(Tickets!$G$2:$G$161=$I$3),ROWS($I$4:I129))),"")</f>
        <v/>
      </c>
      <c r="J129" s="2"/>
    </row>
    <row r="130" spans="1:10" ht="36" customHeight="1" x14ac:dyDescent="0.2">
      <c r="A130" s="16" t="str">
        <f>IFERROR(INDEX(Tickets!$A$2:$A$161,_xlfn.AGGREGATE(15,6,(ROW(Tickets!$G$2:$G$161)-ROW(Tickets!$G$2)+1)/(Tickets!$G$2:$G$161=$A$3),ROWS($A$4:A130)))&amp;" - "&amp;INDEX(Tickets!$E$2:$E$161,_xlfn.AGGREGATE(15,6,(ROW(Tickets!$G$2:$G$161)-ROW(Tickets!$G$2)+1)/(Tickets!$G$2:$G$161=$A$3),ROWS($A$4:A130))),"")</f>
        <v>WPT-137 - Create users table</v>
      </c>
      <c r="B130" s="2"/>
      <c r="C130" s="16" t="str">
        <f>IFERROR(INDEX(Tickets!$A$2:$A$161,_xlfn.AGGREGATE(15,6,(ROW(Tickets!$G$2:$G$161)-ROW(Tickets!$G$2)+1)/(Tickets!$G$2:$G$161=$C$3),ROWS($C$4:C130)))&amp;" - "&amp;INDEX(Tickets!$E$2:$E$161,_xlfn.AGGREGATE(15,6,(ROW(Tickets!$G$2:$G$161)-ROW(Tickets!$G$2)+1)/(Tickets!$G$2:$G$161=$C$3),ROWS($C$4:C130))),"")</f>
        <v/>
      </c>
      <c r="D130" s="2"/>
      <c r="E130" s="16" t="str">
        <f>IFERROR(INDEX(Tickets!$A$2:$A$161,_xlfn.AGGREGATE(15,6,(ROW(Tickets!$G$2:$G$161)-ROW(Tickets!$G$2)+1)/(Tickets!$G$2:$G$161=$E$3),ROWS($E$4:E130)))&amp;" - "&amp;INDEX(Tickets!$E$2:$E$161,_xlfn.AGGREGATE(15,6,(ROW(Tickets!$G$2:$G$161)-ROW(Tickets!$G$2)+1)/(Tickets!$G$2:$G$161=$E$3),ROWS($E$4:E130))),"")</f>
        <v/>
      </c>
      <c r="F130" s="2"/>
      <c r="G130" s="16" t="str">
        <f>IFERROR(INDEX(Tickets!$A$2:$A$161,_xlfn.AGGREGATE(15,6,(ROW(Tickets!$G$2:$G$161)-ROW(Tickets!$G$2)+1)/(Tickets!$G$2:$G$161=$G$3),ROWS($G$4:G130)))&amp;" - "&amp;INDEX(Tickets!$E$2:$E$161,_xlfn.AGGREGATE(15,6,(ROW(Tickets!$G$2:$G$161)-ROW(Tickets!$G$2)+1)/(Tickets!$G$2:$G$161=$G$3),ROWS($G$4:G130))),"")</f>
        <v/>
      </c>
      <c r="H130" s="2"/>
      <c r="I130" s="16" t="str">
        <f>IFERROR(INDEX(Tickets!$A$2:$A$161,_xlfn.AGGREGATE(15,6,(ROW(Tickets!$G$2:$G$161)-ROW(Tickets!$G$2)+1)/(Tickets!$G$2:$G$161=$I$3),ROWS($I$4:I130)))&amp;" - "&amp;INDEX(Tickets!$E$2:$E$161,_xlfn.AGGREGATE(15,6,(ROW(Tickets!$G$2:$G$161)-ROW(Tickets!$G$2)+1)/(Tickets!$G$2:$G$161=$I$3),ROWS($I$4:I130))),"")</f>
        <v/>
      </c>
      <c r="J130" s="2"/>
    </row>
    <row r="131" spans="1:10" ht="36" customHeight="1" x14ac:dyDescent="0.2">
      <c r="A131" s="16" t="str">
        <f>IFERROR(INDEX(Tickets!$A$2:$A$161,_xlfn.AGGREGATE(15,6,(ROW(Tickets!$G$2:$G$161)-ROW(Tickets!$G$2)+1)/(Tickets!$G$2:$G$161=$A$3),ROWS($A$4:A131)))&amp;" - "&amp;INDEX(Tickets!$E$2:$E$161,_xlfn.AGGREGATE(15,6,(ROW(Tickets!$G$2:$G$161)-ROW(Tickets!$G$2)+1)/(Tickets!$G$2:$G$161=$A$3),ROWS($A$4:A131))),"")</f>
        <v>WPT-138 - Create employer profile table</v>
      </c>
      <c r="B131" s="2"/>
      <c r="C131" s="16" t="str">
        <f>IFERROR(INDEX(Tickets!$A$2:$A$161,_xlfn.AGGREGATE(15,6,(ROW(Tickets!$G$2:$G$161)-ROW(Tickets!$G$2)+1)/(Tickets!$G$2:$G$161=$C$3),ROWS($C$4:C131)))&amp;" - "&amp;INDEX(Tickets!$E$2:$E$161,_xlfn.AGGREGATE(15,6,(ROW(Tickets!$G$2:$G$161)-ROW(Tickets!$G$2)+1)/(Tickets!$G$2:$G$161=$C$3),ROWS($C$4:C131))),"")</f>
        <v/>
      </c>
      <c r="D131" s="2"/>
      <c r="E131" s="16" t="str">
        <f>IFERROR(INDEX(Tickets!$A$2:$A$161,_xlfn.AGGREGATE(15,6,(ROW(Tickets!$G$2:$G$161)-ROW(Tickets!$G$2)+1)/(Tickets!$G$2:$G$161=$E$3),ROWS($E$4:E131)))&amp;" - "&amp;INDEX(Tickets!$E$2:$E$161,_xlfn.AGGREGATE(15,6,(ROW(Tickets!$G$2:$G$161)-ROW(Tickets!$G$2)+1)/(Tickets!$G$2:$G$161=$E$3),ROWS($E$4:E131))),"")</f>
        <v/>
      </c>
      <c r="F131" s="2"/>
      <c r="G131" s="16" t="str">
        <f>IFERROR(INDEX(Tickets!$A$2:$A$161,_xlfn.AGGREGATE(15,6,(ROW(Tickets!$G$2:$G$161)-ROW(Tickets!$G$2)+1)/(Tickets!$G$2:$G$161=$G$3),ROWS($G$4:G131)))&amp;" - "&amp;INDEX(Tickets!$E$2:$E$161,_xlfn.AGGREGATE(15,6,(ROW(Tickets!$G$2:$G$161)-ROW(Tickets!$G$2)+1)/(Tickets!$G$2:$G$161=$G$3),ROWS($G$4:G131))),"")</f>
        <v/>
      </c>
      <c r="H131" s="2"/>
      <c r="I131" s="16" t="str">
        <f>IFERROR(INDEX(Tickets!$A$2:$A$161,_xlfn.AGGREGATE(15,6,(ROW(Tickets!$G$2:$G$161)-ROW(Tickets!$G$2)+1)/(Tickets!$G$2:$G$161=$I$3),ROWS($I$4:I131)))&amp;" - "&amp;INDEX(Tickets!$E$2:$E$161,_xlfn.AGGREGATE(15,6,(ROW(Tickets!$G$2:$G$161)-ROW(Tickets!$G$2)+1)/(Tickets!$G$2:$G$161=$I$3),ROWS($I$4:I131))),"")</f>
        <v/>
      </c>
      <c r="J131" s="2"/>
    </row>
    <row r="132" spans="1:10" ht="36" customHeight="1" x14ac:dyDescent="0.2">
      <c r="A132" s="16" t="str">
        <f>IFERROR(INDEX(Tickets!$A$2:$A$161,_xlfn.AGGREGATE(15,6,(ROW(Tickets!$G$2:$G$161)-ROW(Tickets!$G$2)+1)/(Tickets!$G$2:$G$161=$A$3),ROWS($A$4:A132)))&amp;" - "&amp;INDEX(Tickets!$E$2:$E$161,_xlfn.AGGREGATE(15,6,(ROW(Tickets!$G$2:$G$161)-ROW(Tickets!$G$2)+1)/(Tickets!$G$2:$G$161=$A$3),ROWS($A$4:A132))),"")</f>
        <v>WPT-139 - Create Employee profile table</v>
      </c>
      <c r="B132" s="2"/>
      <c r="C132" s="16" t="str">
        <f>IFERROR(INDEX(Tickets!$A$2:$A$161,_xlfn.AGGREGATE(15,6,(ROW(Tickets!$G$2:$G$161)-ROW(Tickets!$G$2)+1)/(Tickets!$G$2:$G$161=$C$3),ROWS($C$4:C132)))&amp;" - "&amp;INDEX(Tickets!$E$2:$E$161,_xlfn.AGGREGATE(15,6,(ROW(Tickets!$G$2:$G$161)-ROW(Tickets!$G$2)+1)/(Tickets!$G$2:$G$161=$C$3),ROWS($C$4:C132))),"")</f>
        <v/>
      </c>
      <c r="D132" s="2"/>
      <c r="E132" s="16" t="str">
        <f>IFERROR(INDEX(Tickets!$A$2:$A$161,_xlfn.AGGREGATE(15,6,(ROW(Tickets!$G$2:$G$161)-ROW(Tickets!$G$2)+1)/(Tickets!$G$2:$G$161=$E$3),ROWS($E$4:E132)))&amp;" - "&amp;INDEX(Tickets!$E$2:$E$161,_xlfn.AGGREGATE(15,6,(ROW(Tickets!$G$2:$G$161)-ROW(Tickets!$G$2)+1)/(Tickets!$G$2:$G$161=$E$3),ROWS($E$4:E132))),"")</f>
        <v/>
      </c>
      <c r="F132" s="2"/>
      <c r="G132" s="16" t="str">
        <f>IFERROR(INDEX(Tickets!$A$2:$A$161,_xlfn.AGGREGATE(15,6,(ROW(Tickets!$G$2:$G$161)-ROW(Tickets!$G$2)+1)/(Tickets!$G$2:$G$161=$G$3),ROWS($G$4:G132)))&amp;" - "&amp;INDEX(Tickets!$E$2:$E$161,_xlfn.AGGREGATE(15,6,(ROW(Tickets!$G$2:$G$161)-ROW(Tickets!$G$2)+1)/(Tickets!$G$2:$G$161=$G$3),ROWS($G$4:G132))),"")</f>
        <v/>
      </c>
      <c r="H132" s="2"/>
      <c r="I132" s="16" t="str">
        <f>IFERROR(INDEX(Tickets!$A$2:$A$161,_xlfn.AGGREGATE(15,6,(ROW(Tickets!$G$2:$G$161)-ROW(Tickets!$G$2)+1)/(Tickets!$G$2:$G$161=$I$3),ROWS($I$4:I132)))&amp;" - "&amp;INDEX(Tickets!$E$2:$E$161,_xlfn.AGGREGATE(15,6,(ROW(Tickets!$G$2:$G$161)-ROW(Tickets!$G$2)+1)/(Tickets!$G$2:$G$161=$I$3),ROWS($I$4:I132))),"")</f>
        <v/>
      </c>
      <c r="J132" s="2"/>
    </row>
    <row r="133" spans="1:10" ht="36" customHeight="1" x14ac:dyDescent="0.2">
      <c r="A133" s="16" t="str">
        <f>IFERROR(INDEX(Tickets!$A$2:$A$161,_xlfn.AGGREGATE(15,6,(ROW(Tickets!$G$2:$G$161)-ROW(Tickets!$G$2)+1)/(Tickets!$G$2:$G$161=$A$3),ROWS($A$4:A133)))&amp;" - "&amp;INDEX(Tickets!$E$2:$E$161,_xlfn.AGGREGATE(15,6,(ROW(Tickets!$G$2:$G$161)-ROW(Tickets!$G$2)+1)/(Tickets!$G$2:$G$161=$A$3),ROWS($A$4:A133))),"")</f>
        <v>WPT-140 - Create jobs and applications data model</v>
      </c>
      <c r="B133" s="2"/>
      <c r="C133" s="16" t="str">
        <f>IFERROR(INDEX(Tickets!$A$2:$A$161,_xlfn.AGGREGATE(15,6,(ROW(Tickets!$G$2:$G$161)-ROW(Tickets!$G$2)+1)/(Tickets!$G$2:$G$161=$C$3),ROWS($C$4:C133)))&amp;" - "&amp;INDEX(Tickets!$E$2:$E$161,_xlfn.AGGREGATE(15,6,(ROW(Tickets!$G$2:$G$161)-ROW(Tickets!$G$2)+1)/(Tickets!$G$2:$G$161=$C$3),ROWS($C$4:C133))),"")</f>
        <v/>
      </c>
      <c r="D133" s="2"/>
      <c r="E133" s="16" t="str">
        <f>IFERROR(INDEX(Tickets!$A$2:$A$161,_xlfn.AGGREGATE(15,6,(ROW(Tickets!$G$2:$G$161)-ROW(Tickets!$G$2)+1)/(Tickets!$G$2:$G$161=$E$3),ROWS($E$4:E133)))&amp;" - "&amp;INDEX(Tickets!$E$2:$E$161,_xlfn.AGGREGATE(15,6,(ROW(Tickets!$G$2:$G$161)-ROW(Tickets!$G$2)+1)/(Tickets!$G$2:$G$161=$E$3),ROWS($E$4:E133))),"")</f>
        <v/>
      </c>
      <c r="F133" s="2"/>
      <c r="G133" s="16" t="str">
        <f>IFERROR(INDEX(Tickets!$A$2:$A$161,_xlfn.AGGREGATE(15,6,(ROW(Tickets!$G$2:$G$161)-ROW(Tickets!$G$2)+1)/(Tickets!$G$2:$G$161=$G$3),ROWS($G$4:G133)))&amp;" - "&amp;INDEX(Tickets!$E$2:$E$161,_xlfn.AGGREGATE(15,6,(ROW(Tickets!$G$2:$G$161)-ROW(Tickets!$G$2)+1)/(Tickets!$G$2:$G$161=$G$3),ROWS($G$4:G133))),"")</f>
        <v/>
      </c>
      <c r="H133" s="2"/>
      <c r="I133" s="16" t="str">
        <f>IFERROR(INDEX(Tickets!$A$2:$A$161,_xlfn.AGGREGATE(15,6,(ROW(Tickets!$G$2:$G$161)-ROW(Tickets!$G$2)+1)/(Tickets!$G$2:$G$161=$I$3),ROWS($I$4:I133)))&amp;" - "&amp;INDEX(Tickets!$E$2:$E$161,_xlfn.AGGREGATE(15,6,(ROW(Tickets!$G$2:$G$161)-ROW(Tickets!$G$2)+1)/(Tickets!$G$2:$G$161=$I$3),ROWS($I$4:I133))),"")</f>
        <v/>
      </c>
      <c r="J133" s="2"/>
    </row>
    <row r="134" spans="1:10" ht="36" customHeight="1" x14ac:dyDescent="0.2">
      <c r="A134" s="16" t="str">
        <f>IFERROR(INDEX(Tickets!$A$2:$A$161,_xlfn.AGGREGATE(15,6,(ROW(Tickets!$G$2:$G$161)-ROW(Tickets!$G$2)+1)/(Tickets!$G$2:$G$161=$A$3),ROWS($A$4:A134)))&amp;" - "&amp;INDEX(Tickets!$E$2:$E$161,_xlfn.AGGREGATE(15,6,(ROW(Tickets!$G$2:$G$161)-ROW(Tickets!$G$2)+1)/(Tickets!$G$2:$G$161=$A$3),ROWS($A$4:A134))),"")</f>
        <v>WPT-141 - Create jobs table</v>
      </c>
      <c r="B134" s="2"/>
      <c r="C134" s="16" t="str">
        <f>IFERROR(INDEX(Tickets!$A$2:$A$161,_xlfn.AGGREGATE(15,6,(ROW(Tickets!$G$2:$G$161)-ROW(Tickets!$G$2)+1)/(Tickets!$G$2:$G$161=$C$3),ROWS($C$4:C134)))&amp;" - "&amp;INDEX(Tickets!$E$2:$E$161,_xlfn.AGGREGATE(15,6,(ROW(Tickets!$G$2:$G$161)-ROW(Tickets!$G$2)+1)/(Tickets!$G$2:$G$161=$C$3),ROWS($C$4:C134))),"")</f>
        <v/>
      </c>
      <c r="D134" s="2"/>
      <c r="E134" s="16" t="str">
        <f>IFERROR(INDEX(Tickets!$A$2:$A$161,_xlfn.AGGREGATE(15,6,(ROW(Tickets!$G$2:$G$161)-ROW(Tickets!$G$2)+1)/(Tickets!$G$2:$G$161=$E$3),ROWS($E$4:E134)))&amp;" - "&amp;INDEX(Tickets!$E$2:$E$161,_xlfn.AGGREGATE(15,6,(ROW(Tickets!$G$2:$G$161)-ROW(Tickets!$G$2)+1)/(Tickets!$G$2:$G$161=$E$3),ROWS($E$4:E134))),"")</f>
        <v/>
      </c>
      <c r="F134" s="2"/>
      <c r="G134" s="16" t="str">
        <f>IFERROR(INDEX(Tickets!$A$2:$A$161,_xlfn.AGGREGATE(15,6,(ROW(Tickets!$G$2:$G$161)-ROW(Tickets!$G$2)+1)/(Tickets!$G$2:$G$161=$G$3),ROWS($G$4:G134)))&amp;" - "&amp;INDEX(Tickets!$E$2:$E$161,_xlfn.AGGREGATE(15,6,(ROW(Tickets!$G$2:$G$161)-ROW(Tickets!$G$2)+1)/(Tickets!$G$2:$G$161=$G$3),ROWS($G$4:G134))),"")</f>
        <v/>
      </c>
      <c r="H134" s="2"/>
      <c r="I134" s="16" t="str">
        <f>IFERROR(INDEX(Tickets!$A$2:$A$161,_xlfn.AGGREGATE(15,6,(ROW(Tickets!$G$2:$G$161)-ROW(Tickets!$G$2)+1)/(Tickets!$G$2:$G$161=$I$3),ROWS($I$4:I134)))&amp;" - "&amp;INDEX(Tickets!$E$2:$E$161,_xlfn.AGGREGATE(15,6,(ROW(Tickets!$G$2:$G$161)-ROW(Tickets!$G$2)+1)/(Tickets!$G$2:$G$161=$I$3),ROWS($I$4:I134))),"")</f>
        <v/>
      </c>
      <c r="J134" s="2"/>
    </row>
    <row r="135" spans="1:10" ht="36" customHeight="1" x14ac:dyDescent="0.2">
      <c r="A135" s="16" t="str">
        <f>IFERROR(INDEX(Tickets!$A$2:$A$161,_xlfn.AGGREGATE(15,6,(ROW(Tickets!$G$2:$G$161)-ROW(Tickets!$G$2)+1)/(Tickets!$G$2:$G$161=$A$3),ROWS($A$4:A135)))&amp;" - "&amp;INDEX(Tickets!$E$2:$E$161,_xlfn.AGGREGATE(15,6,(ROW(Tickets!$G$2:$G$161)-ROW(Tickets!$G$2)+1)/(Tickets!$G$2:$G$161=$A$3),ROWS($A$4:A135))),"")</f>
        <v>WPT-142 - Create applications table</v>
      </c>
      <c r="B135" s="2"/>
      <c r="C135" s="16" t="str">
        <f>IFERROR(INDEX(Tickets!$A$2:$A$161,_xlfn.AGGREGATE(15,6,(ROW(Tickets!$G$2:$G$161)-ROW(Tickets!$G$2)+1)/(Tickets!$G$2:$G$161=$C$3),ROWS($C$4:C135)))&amp;" - "&amp;INDEX(Tickets!$E$2:$E$161,_xlfn.AGGREGATE(15,6,(ROW(Tickets!$G$2:$G$161)-ROW(Tickets!$G$2)+1)/(Tickets!$G$2:$G$161=$C$3),ROWS($C$4:C135))),"")</f>
        <v/>
      </c>
      <c r="D135" s="2"/>
      <c r="E135" s="16" t="str">
        <f>IFERROR(INDEX(Tickets!$A$2:$A$161,_xlfn.AGGREGATE(15,6,(ROW(Tickets!$G$2:$G$161)-ROW(Tickets!$G$2)+1)/(Tickets!$G$2:$G$161=$E$3),ROWS($E$4:E135)))&amp;" - "&amp;INDEX(Tickets!$E$2:$E$161,_xlfn.AGGREGATE(15,6,(ROW(Tickets!$G$2:$G$161)-ROW(Tickets!$G$2)+1)/(Tickets!$G$2:$G$161=$E$3),ROWS($E$4:E135))),"")</f>
        <v/>
      </c>
      <c r="F135" s="2"/>
      <c r="G135" s="16" t="str">
        <f>IFERROR(INDEX(Tickets!$A$2:$A$161,_xlfn.AGGREGATE(15,6,(ROW(Tickets!$G$2:$G$161)-ROW(Tickets!$G$2)+1)/(Tickets!$G$2:$G$161=$G$3),ROWS($G$4:G135)))&amp;" - "&amp;INDEX(Tickets!$E$2:$E$161,_xlfn.AGGREGATE(15,6,(ROW(Tickets!$G$2:$G$161)-ROW(Tickets!$G$2)+1)/(Tickets!$G$2:$G$161=$G$3),ROWS($G$4:G135))),"")</f>
        <v/>
      </c>
      <c r="H135" s="2"/>
      <c r="I135" s="16" t="str">
        <f>IFERROR(INDEX(Tickets!$A$2:$A$161,_xlfn.AGGREGATE(15,6,(ROW(Tickets!$G$2:$G$161)-ROW(Tickets!$G$2)+1)/(Tickets!$G$2:$G$161=$I$3),ROWS($I$4:I135)))&amp;" - "&amp;INDEX(Tickets!$E$2:$E$161,_xlfn.AGGREGATE(15,6,(ROW(Tickets!$G$2:$G$161)-ROW(Tickets!$G$2)+1)/(Tickets!$G$2:$G$161=$I$3),ROWS($I$4:I135))),"")</f>
        <v/>
      </c>
      <c r="J135" s="2"/>
    </row>
    <row r="136" spans="1:10" ht="36" customHeight="1" x14ac:dyDescent="0.2">
      <c r="A136" s="16" t="str">
        <f>IFERROR(INDEX(Tickets!$A$2:$A$161,_xlfn.AGGREGATE(15,6,(ROW(Tickets!$G$2:$G$161)-ROW(Tickets!$G$2)+1)/(Tickets!$G$2:$G$161=$A$3),ROWS($A$4:A136)))&amp;" - "&amp;INDEX(Tickets!$E$2:$E$161,_xlfn.AGGREGATE(15,6,(ROW(Tickets!$G$2:$G$161)-ROW(Tickets!$G$2)+1)/(Tickets!$G$2:$G$161=$A$3),ROWS($A$4:A136))),"")</f>
        <v>WPT-143 - Create application status field</v>
      </c>
      <c r="B136" s="2"/>
      <c r="C136" s="16" t="str">
        <f>IFERROR(INDEX(Tickets!$A$2:$A$161,_xlfn.AGGREGATE(15,6,(ROW(Tickets!$G$2:$G$161)-ROW(Tickets!$G$2)+1)/(Tickets!$G$2:$G$161=$C$3),ROWS($C$4:C136)))&amp;" - "&amp;INDEX(Tickets!$E$2:$E$161,_xlfn.AGGREGATE(15,6,(ROW(Tickets!$G$2:$G$161)-ROW(Tickets!$G$2)+1)/(Tickets!$G$2:$G$161=$C$3),ROWS($C$4:C136))),"")</f>
        <v/>
      </c>
      <c r="D136" s="2"/>
      <c r="E136" s="16" t="str">
        <f>IFERROR(INDEX(Tickets!$A$2:$A$161,_xlfn.AGGREGATE(15,6,(ROW(Tickets!$G$2:$G$161)-ROW(Tickets!$G$2)+1)/(Tickets!$G$2:$G$161=$E$3),ROWS($E$4:E136)))&amp;" - "&amp;INDEX(Tickets!$E$2:$E$161,_xlfn.AGGREGATE(15,6,(ROW(Tickets!$G$2:$G$161)-ROW(Tickets!$G$2)+1)/(Tickets!$G$2:$G$161=$E$3),ROWS($E$4:E136))),"")</f>
        <v/>
      </c>
      <c r="F136" s="2"/>
      <c r="G136" s="16" t="str">
        <f>IFERROR(INDEX(Tickets!$A$2:$A$161,_xlfn.AGGREGATE(15,6,(ROW(Tickets!$G$2:$G$161)-ROW(Tickets!$G$2)+1)/(Tickets!$G$2:$G$161=$G$3),ROWS($G$4:G136)))&amp;" - "&amp;INDEX(Tickets!$E$2:$E$161,_xlfn.AGGREGATE(15,6,(ROW(Tickets!$G$2:$G$161)-ROW(Tickets!$G$2)+1)/(Tickets!$G$2:$G$161=$G$3),ROWS($G$4:G136))),"")</f>
        <v/>
      </c>
      <c r="H136" s="2"/>
      <c r="I136" s="16" t="str">
        <f>IFERROR(INDEX(Tickets!$A$2:$A$161,_xlfn.AGGREGATE(15,6,(ROW(Tickets!$G$2:$G$161)-ROW(Tickets!$G$2)+1)/(Tickets!$G$2:$G$161=$I$3),ROWS($I$4:I136)))&amp;" - "&amp;INDEX(Tickets!$E$2:$E$161,_xlfn.AGGREGATE(15,6,(ROW(Tickets!$G$2:$G$161)-ROW(Tickets!$G$2)+1)/(Tickets!$G$2:$G$161=$I$3),ROWS($I$4:I136))),"")</f>
        <v/>
      </c>
      <c r="J136" s="2"/>
    </row>
    <row r="137" spans="1:10" ht="36" customHeight="1" x14ac:dyDescent="0.2">
      <c r="A137" s="16" t="str">
        <f>IFERROR(INDEX(Tickets!$A$2:$A$161,_xlfn.AGGREGATE(15,6,(ROW(Tickets!$G$2:$G$161)-ROW(Tickets!$G$2)+1)/(Tickets!$G$2:$G$161=$A$3),ROWS($A$4:A137)))&amp;" - "&amp;INDEX(Tickets!$E$2:$E$161,_xlfn.AGGREGATE(15,6,(ROW(Tickets!$G$2:$G$161)-ROW(Tickets!$G$2)+1)/(Tickets!$G$2:$G$161=$A$3),ROWS($A$4:A137))),"")</f>
        <v>WPT-144 - Create events and registrations data model</v>
      </c>
      <c r="B137" s="2"/>
      <c r="C137" s="16" t="str">
        <f>IFERROR(INDEX(Tickets!$A$2:$A$161,_xlfn.AGGREGATE(15,6,(ROW(Tickets!$G$2:$G$161)-ROW(Tickets!$G$2)+1)/(Tickets!$G$2:$G$161=$C$3),ROWS($C$4:C137)))&amp;" - "&amp;INDEX(Tickets!$E$2:$E$161,_xlfn.AGGREGATE(15,6,(ROW(Tickets!$G$2:$G$161)-ROW(Tickets!$G$2)+1)/(Tickets!$G$2:$G$161=$C$3),ROWS($C$4:C137))),"")</f>
        <v/>
      </c>
      <c r="D137" s="2"/>
      <c r="E137" s="16" t="str">
        <f>IFERROR(INDEX(Tickets!$A$2:$A$161,_xlfn.AGGREGATE(15,6,(ROW(Tickets!$G$2:$G$161)-ROW(Tickets!$G$2)+1)/(Tickets!$G$2:$G$161=$E$3),ROWS($E$4:E137)))&amp;" - "&amp;INDEX(Tickets!$E$2:$E$161,_xlfn.AGGREGATE(15,6,(ROW(Tickets!$G$2:$G$161)-ROW(Tickets!$G$2)+1)/(Tickets!$G$2:$G$161=$E$3),ROWS($E$4:E137))),"")</f>
        <v/>
      </c>
      <c r="F137" s="2"/>
      <c r="G137" s="16" t="str">
        <f>IFERROR(INDEX(Tickets!$A$2:$A$161,_xlfn.AGGREGATE(15,6,(ROW(Tickets!$G$2:$G$161)-ROW(Tickets!$G$2)+1)/(Tickets!$G$2:$G$161=$G$3),ROWS($G$4:G137)))&amp;" - "&amp;INDEX(Tickets!$E$2:$E$161,_xlfn.AGGREGATE(15,6,(ROW(Tickets!$G$2:$G$161)-ROW(Tickets!$G$2)+1)/(Tickets!$G$2:$G$161=$G$3),ROWS($G$4:G137))),"")</f>
        <v/>
      </c>
      <c r="H137" s="2"/>
      <c r="I137" s="16" t="str">
        <f>IFERROR(INDEX(Tickets!$A$2:$A$161,_xlfn.AGGREGATE(15,6,(ROW(Tickets!$G$2:$G$161)-ROW(Tickets!$G$2)+1)/(Tickets!$G$2:$G$161=$I$3),ROWS($I$4:I137)))&amp;" - "&amp;INDEX(Tickets!$E$2:$E$161,_xlfn.AGGREGATE(15,6,(ROW(Tickets!$G$2:$G$161)-ROW(Tickets!$G$2)+1)/(Tickets!$G$2:$G$161=$I$3),ROWS($I$4:I137))),"")</f>
        <v/>
      </c>
      <c r="J137" s="2"/>
    </row>
    <row r="138" spans="1:10" ht="36" customHeight="1" x14ac:dyDescent="0.2">
      <c r="A138" s="16" t="str">
        <f>IFERROR(INDEX(Tickets!$A$2:$A$161,_xlfn.AGGREGATE(15,6,(ROW(Tickets!$G$2:$G$161)-ROW(Tickets!$G$2)+1)/(Tickets!$G$2:$G$161=$A$3),ROWS($A$4:A138)))&amp;" - "&amp;INDEX(Tickets!$E$2:$E$161,_xlfn.AGGREGATE(15,6,(ROW(Tickets!$G$2:$G$161)-ROW(Tickets!$G$2)+1)/(Tickets!$G$2:$G$161=$A$3),ROWS($A$4:A138))),"")</f>
        <v>WPT-145 - Create events table</v>
      </c>
      <c r="B138" s="2"/>
      <c r="C138" s="16" t="str">
        <f>IFERROR(INDEX(Tickets!$A$2:$A$161,_xlfn.AGGREGATE(15,6,(ROW(Tickets!$G$2:$G$161)-ROW(Tickets!$G$2)+1)/(Tickets!$G$2:$G$161=$C$3),ROWS($C$4:C138)))&amp;" - "&amp;INDEX(Tickets!$E$2:$E$161,_xlfn.AGGREGATE(15,6,(ROW(Tickets!$G$2:$G$161)-ROW(Tickets!$G$2)+1)/(Tickets!$G$2:$G$161=$C$3),ROWS($C$4:C138))),"")</f>
        <v/>
      </c>
      <c r="D138" s="2"/>
      <c r="E138" s="16" t="str">
        <f>IFERROR(INDEX(Tickets!$A$2:$A$161,_xlfn.AGGREGATE(15,6,(ROW(Tickets!$G$2:$G$161)-ROW(Tickets!$G$2)+1)/(Tickets!$G$2:$G$161=$E$3),ROWS($E$4:E138)))&amp;" - "&amp;INDEX(Tickets!$E$2:$E$161,_xlfn.AGGREGATE(15,6,(ROW(Tickets!$G$2:$G$161)-ROW(Tickets!$G$2)+1)/(Tickets!$G$2:$G$161=$E$3),ROWS($E$4:E138))),"")</f>
        <v/>
      </c>
      <c r="F138" s="2"/>
      <c r="G138" s="16" t="str">
        <f>IFERROR(INDEX(Tickets!$A$2:$A$161,_xlfn.AGGREGATE(15,6,(ROW(Tickets!$G$2:$G$161)-ROW(Tickets!$G$2)+1)/(Tickets!$G$2:$G$161=$G$3),ROWS($G$4:G138)))&amp;" - "&amp;INDEX(Tickets!$E$2:$E$161,_xlfn.AGGREGATE(15,6,(ROW(Tickets!$G$2:$G$161)-ROW(Tickets!$G$2)+1)/(Tickets!$G$2:$G$161=$G$3),ROWS($G$4:G138))),"")</f>
        <v/>
      </c>
      <c r="H138" s="2"/>
      <c r="I138" s="16" t="str">
        <f>IFERROR(INDEX(Tickets!$A$2:$A$161,_xlfn.AGGREGATE(15,6,(ROW(Tickets!$G$2:$G$161)-ROW(Tickets!$G$2)+1)/(Tickets!$G$2:$G$161=$I$3),ROWS($I$4:I138)))&amp;" - "&amp;INDEX(Tickets!$E$2:$E$161,_xlfn.AGGREGATE(15,6,(ROW(Tickets!$G$2:$G$161)-ROW(Tickets!$G$2)+1)/(Tickets!$G$2:$G$161=$I$3),ROWS($I$4:I138))),"")</f>
        <v/>
      </c>
      <c r="J138" s="2"/>
    </row>
    <row r="139" spans="1:10" ht="36" customHeight="1" x14ac:dyDescent="0.2">
      <c r="A139" s="16" t="str">
        <f>IFERROR(INDEX(Tickets!$A$2:$A$161,_xlfn.AGGREGATE(15,6,(ROW(Tickets!$G$2:$G$161)-ROW(Tickets!$G$2)+1)/(Tickets!$G$2:$G$161=$A$3),ROWS($A$4:A139)))&amp;" - "&amp;INDEX(Tickets!$E$2:$E$161,_xlfn.AGGREGATE(15,6,(ROW(Tickets!$G$2:$G$161)-ROW(Tickets!$G$2)+1)/(Tickets!$G$2:$G$161=$A$3),ROWS($A$4:A139))),"")</f>
        <v>WPT-146 - Create event registrations table</v>
      </c>
      <c r="B139" s="2"/>
      <c r="C139" s="16" t="str">
        <f>IFERROR(INDEX(Tickets!$A$2:$A$161,_xlfn.AGGREGATE(15,6,(ROW(Tickets!$G$2:$G$161)-ROW(Tickets!$G$2)+1)/(Tickets!$G$2:$G$161=$C$3),ROWS($C$4:C139)))&amp;" - "&amp;INDEX(Tickets!$E$2:$E$161,_xlfn.AGGREGATE(15,6,(ROW(Tickets!$G$2:$G$161)-ROW(Tickets!$G$2)+1)/(Tickets!$G$2:$G$161=$C$3),ROWS($C$4:C139))),"")</f>
        <v/>
      </c>
      <c r="D139" s="2"/>
      <c r="E139" s="16" t="str">
        <f>IFERROR(INDEX(Tickets!$A$2:$A$161,_xlfn.AGGREGATE(15,6,(ROW(Tickets!$G$2:$G$161)-ROW(Tickets!$G$2)+1)/(Tickets!$G$2:$G$161=$E$3),ROWS($E$4:E139)))&amp;" - "&amp;INDEX(Tickets!$E$2:$E$161,_xlfn.AGGREGATE(15,6,(ROW(Tickets!$G$2:$G$161)-ROW(Tickets!$G$2)+1)/(Tickets!$G$2:$G$161=$E$3),ROWS($E$4:E139))),"")</f>
        <v/>
      </c>
      <c r="F139" s="2"/>
      <c r="G139" s="16" t="str">
        <f>IFERROR(INDEX(Tickets!$A$2:$A$161,_xlfn.AGGREGATE(15,6,(ROW(Tickets!$G$2:$G$161)-ROW(Tickets!$G$2)+1)/(Tickets!$G$2:$G$161=$G$3),ROWS($G$4:G139)))&amp;" - "&amp;INDEX(Tickets!$E$2:$E$161,_xlfn.AGGREGATE(15,6,(ROW(Tickets!$G$2:$G$161)-ROW(Tickets!$G$2)+1)/(Tickets!$G$2:$G$161=$G$3),ROWS($G$4:G139))),"")</f>
        <v/>
      </c>
      <c r="H139" s="2"/>
      <c r="I139" s="16" t="str">
        <f>IFERROR(INDEX(Tickets!$A$2:$A$161,_xlfn.AGGREGATE(15,6,(ROW(Tickets!$G$2:$G$161)-ROW(Tickets!$G$2)+1)/(Tickets!$G$2:$G$161=$I$3),ROWS($I$4:I139)))&amp;" - "&amp;INDEX(Tickets!$E$2:$E$161,_xlfn.AGGREGATE(15,6,(ROW(Tickets!$G$2:$G$161)-ROW(Tickets!$G$2)+1)/(Tickets!$G$2:$G$161=$I$3),ROWS($I$4:I139))),"")</f>
        <v/>
      </c>
      <c r="J139" s="2"/>
    </row>
    <row r="140" spans="1:10" ht="36" customHeight="1" x14ac:dyDescent="0.2">
      <c r="A140" s="16" t="str">
        <f>IFERROR(INDEX(Tickets!$A$2:$A$161,_xlfn.AGGREGATE(15,6,(ROW(Tickets!$G$2:$G$161)-ROW(Tickets!$G$2)+1)/(Tickets!$G$2:$G$161=$A$3),ROWS($A$4:A140)))&amp;" - "&amp;INDEX(Tickets!$E$2:$E$161,_xlfn.AGGREGATE(15,6,(ROW(Tickets!$G$2:$G$161)-ROW(Tickets!$G$2)+1)/(Tickets!$G$2:$G$161=$A$3),ROWS($A$4:A140))),"")</f>
        <v>WPT-147 - Create event status field</v>
      </c>
      <c r="B140" s="2"/>
      <c r="C140" s="16" t="str">
        <f>IFERROR(INDEX(Tickets!$A$2:$A$161,_xlfn.AGGREGATE(15,6,(ROW(Tickets!$G$2:$G$161)-ROW(Tickets!$G$2)+1)/(Tickets!$G$2:$G$161=$C$3),ROWS($C$4:C140)))&amp;" - "&amp;INDEX(Tickets!$E$2:$E$161,_xlfn.AGGREGATE(15,6,(ROW(Tickets!$G$2:$G$161)-ROW(Tickets!$G$2)+1)/(Tickets!$G$2:$G$161=$C$3),ROWS($C$4:C140))),"")</f>
        <v/>
      </c>
      <c r="D140" s="2"/>
      <c r="E140" s="16" t="str">
        <f>IFERROR(INDEX(Tickets!$A$2:$A$161,_xlfn.AGGREGATE(15,6,(ROW(Tickets!$G$2:$G$161)-ROW(Tickets!$G$2)+1)/(Tickets!$G$2:$G$161=$E$3),ROWS($E$4:E140)))&amp;" - "&amp;INDEX(Tickets!$E$2:$E$161,_xlfn.AGGREGATE(15,6,(ROW(Tickets!$G$2:$G$161)-ROW(Tickets!$G$2)+1)/(Tickets!$G$2:$G$161=$E$3),ROWS($E$4:E140))),"")</f>
        <v/>
      </c>
      <c r="F140" s="2"/>
      <c r="G140" s="16" t="str">
        <f>IFERROR(INDEX(Tickets!$A$2:$A$161,_xlfn.AGGREGATE(15,6,(ROW(Tickets!$G$2:$G$161)-ROW(Tickets!$G$2)+1)/(Tickets!$G$2:$G$161=$G$3),ROWS($G$4:G140)))&amp;" - "&amp;INDEX(Tickets!$E$2:$E$161,_xlfn.AGGREGATE(15,6,(ROW(Tickets!$G$2:$G$161)-ROW(Tickets!$G$2)+1)/(Tickets!$G$2:$G$161=$G$3),ROWS($G$4:G140))),"")</f>
        <v/>
      </c>
      <c r="H140" s="2"/>
      <c r="I140" s="16" t="str">
        <f>IFERROR(INDEX(Tickets!$A$2:$A$161,_xlfn.AGGREGATE(15,6,(ROW(Tickets!$G$2:$G$161)-ROW(Tickets!$G$2)+1)/(Tickets!$G$2:$G$161=$I$3),ROWS($I$4:I140)))&amp;" - "&amp;INDEX(Tickets!$E$2:$E$161,_xlfn.AGGREGATE(15,6,(ROW(Tickets!$G$2:$G$161)-ROW(Tickets!$G$2)+1)/(Tickets!$G$2:$G$161=$I$3),ROWS($I$4:I140))),"")</f>
        <v/>
      </c>
      <c r="J140" s="2"/>
    </row>
    <row r="141" spans="1:10" ht="36" customHeight="1" x14ac:dyDescent="0.2">
      <c r="A141" s="16" t="str">
        <f>IFERROR(INDEX(Tickets!$A$2:$A$161,_xlfn.AGGREGATE(15,6,(ROW(Tickets!$G$2:$G$161)-ROW(Tickets!$G$2)+1)/(Tickets!$G$2:$G$161=$A$3),ROWS($A$4:A141)))&amp;" - "&amp;INDEX(Tickets!$E$2:$E$161,_xlfn.AGGREGATE(15,6,(ROW(Tickets!$G$2:$G$161)-ROW(Tickets!$G$2)+1)/(Tickets!$G$2:$G$161=$A$3),ROWS($A$4:A141))),"")</f>
        <v>WPT-148 - Testing and Validation</v>
      </c>
      <c r="B141" s="2"/>
      <c r="C141" s="16" t="str">
        <f>IFERROR(INDEX(Tickets!$A$2:$A$161,_xlfn.AGGREGATE(15,6,(ROW(Tickets!$G$2:$G$161)-ROW(Tickets!$G$2)+1)/(Tickets!$G$2:$G$161=$C$3),ROWS($C$4:C141)))&amp;" - "&amp;INDEX(Tickets!$E$2:$E$161,_xlfn.AGGREGATE(15,6,(ROW(Tickets!$G$2:$G$161)-ROW(Tickets!$G$2)+1)/(Tickets!$G$2:$G$161=$C$3),ROWS($C$4:C141))),"")</f>
        <v/>
      </c>
      <c r="D141" s="2"/>
      <c r="E141" s="16" t="str">
        <f>IFERROR(INDEX(Tickets!$A$2:$A$161,_xlfn.AGGREGATE(15,6,(ROW(Tickets!$G$2:$G$161)-ROW(Tickets!$G$2)+1)/(Tickets!$G$2:$G$161=$E$3),ROWS($E$4:E141)))&amp;" - "&amp;INDEX(Tickets!$E$2:$E$161,_xlfn.AGGREGATE(15,6,(ROW(Tickets!$G$2:$G$161)-ROW(Tickets!$G$2)+1)/(Tickets!$G$2:$G$161=$E$3),ROWS($E$4:E141))),"")</f>
        <v/>
      </c>
      <c r="F141" s="2"/>
      <c r="G141" s="16" t="str">
        <f>IFERROR(INDEX(Tickets!$A$2:$A$161,_xlfn.AGGREGATE(15,6,(ROW(Tickets!$G$2:$G$161)-ROW(Tickets!$G$2)+1)/(Tickets!$G$2:$G$161=$G$3),ROWS($G$4:G141)))&amp;" - "&amp;INDEX(Tickets!$E$2:$E$161,_xlfn.AGGREGATE(15,6,(ROW(Tickets!$G$2:$G$161)-ROW(Tickets!$G$2)+1)/(Tickets!$G$2:$G$161=$G$3),ROWS($G$4:G141))),"")</f>
        <v/>
      </c>
      <c r="H141" s="2"/>
      <c r="I141" s="16" t="str">
        <f>IFERROR(INDEX(Tickets!$A$2:$A$161,_xlfn.AGGREGATE(15,6,(ROW(Tickets!$G$2:$G$161)-ROW(Tickets!$G$2)+1)/(Tickets!$G$2:$G$161=$I$3),ROWS($I$4:I141)))&amp;" - "&amp;INDEX(Tickets!$E$2:$E$161,_xlfn.AGGREGATE(15,6,(ROW(Tickets!$G$2:$G$161)-ROW(Tickets!$G$2)+1)/(Tickets!$G$2:$G$161=$I$3),ROWS($I$4:I141))),"")</f>
        <v/>
      </c>
      <c r="J141" s="2"/>
    </row>
    <row r="142" spans="1:10" ht="36" customHeight="1" x14ac:dyDescent="0.2">
      <c r="A142" s="16" t="str">
        <f>IFERROR(INDEX(Tickets!$A$2:$A$161,_xlfn.AGGREGATE(15,6,(ROW(Tickets!$G$2:$G$161)-ROW(Tickets!$G$2)+1)/(Tickets!$G$2:$G$161=$A$3),ROWS($A$4:A142)))&amp;" - "&amp;INDEX(Tickets!$E$2:$E$161,_xlfn.AGGREGATE(15,6,(ROW(Tickets!$G$2:$G$161)-ROW(Tickets!$G$2)+1)/(Tickets!$G$2:$G$161=$A$3),ROWS($A$4:A142))),"")</f>
        <v>WPT-149 - Test employer portal flows</v>
      </c>
      <c r="B142" s="2"/>
      <c r="C142" s="16" t="str">
        <f>IFERROR(INDEX(Tickets!$A$2:$A$161,_xlfn.AGGREGATE(15,6,(ROW(Tickets!$G$2:$G$161)-ROW(Tickets!$G$2)+1)/(Tickets!$G$2:$G$161=$C$3),ROWS($C$4:C142)))&amp;" - "&amp;INDEX(Tickets!$E$2:$E$161,_xlfn.AGGREGATE(15,6,(ROW(Tickets!$G$2:$G$161)-ROW(Tickets!$G$2)+1)/(Tickets!$G$2:$G$161=$C$3),ROWS($C$4:C142))),"")</f>
        <v/>
      </c>
      <c r="D142" s="2"/>
      <c r="E142" s="16" t="str">
        <f>IFERROR(INDEX(Tickets!$A$2:$A$161,_xlfn.AGGREGATE(15,6,(ROW(Tickets!$G$2:$G$161)-ROW(Tickets!$G$2)+1)/(Tickets!$G$2:$G$161=$E$3),ROWS($E$4:E142)))&amp;" - "&amp;INDEX(Tickets!$E$2:$E$161,_xlfn.AGGREGATE(15,6,(ROW(Tickets!$G$2:$G$161)-ROW(Tickets!$G$2)+1)/(Tickets!$G$2:$G$161=$E$3),ROWS($E$4:E142))),"")</f>
        <v/>
      </c>
      <c r="F142" s="2"/>
      <c r="G142" s="16" t="str">
        <f>IFERROR(INDEX(Tickets!$A$2:$A$161,_xlfn.AGGREGATE(15,6,(ROW(Tickets!$G$2:$G$161)-ROW(Tickets!$G$2)+1)/(Tickets!$G$2:$G$161=$G$3),ROWS($G$4:G142)))&amp;" - "&amp;INDEX(Tickets!$E$2:$E$161,_xlfn.AGGREGATE(15,6,(ROW(Tickets!$G$2:$G$161)-ROW(Tickets!$G$2)+1)/(Tickets!$G$2:$G$161=$G$3),ROWS($G$4:G142))),"")</f>
        <v/>
      </c>
      <c r="H142" s="2"/>
      <c r="I142" s="16" t="str">
        <f>IFERROR(INDEX(Tickets!$A$2:$A$161,_xlfn.AGGREGATE(15,6,(ROW(Tickets!$G$2:$G$161)-ROW(Tickets!$G$2)+1)/(Tickets!$G$2:$G$161=$I$3),ROWS($I$4:I142)))&amp;" - "&amp;INDEX(Tickets!$E$2:$E$161,_xlfn.AGGREGATE(15,6,(ROW(Tickets!$G$2:$G$161)-ROW(Tickets!$G$2)+1)/(Tickets!$G$2:$G$161=$I$3),ROWS($I$4:I142))),"")</f>
        <v/>
      </c>
      <c r="J142" s="2"/>
    </row>
    <row r="143" spans="1:10" ht="36" customHeight="1" x14ac:dyDescent="0.2">
      <c r="A143" s="16" t="str">
        <f>IFERROR(INDEX(Tickets!$A$2:$A$161,_xlfn.AGGREGATE(15,6,(ROW(Tickets!$G$2:$G$161)-ROW(Tickets!$G$2)+1)/(Tickets!$G$2:$G$161=$A$3),ROWS($A$4:A143)))&amp;" - "&amp;INDEX(Tickets!$E$2:$E$161,_xlfn.AGGREGATE(15,6,(ROW(Tickets!$G$2:$G$161)-ROW(Tickets!$G$2)+1)/(Tickets!$G$2:$G$161=$A$3),ROWS($A$4:A143))),"")</f>
        <v>WPT-150 - Test employer registration and login</v>
      </c>
      <c r="B143" s="2"/>
      <c r="C143" s="16" t="str">
        <f>IFERROR(INDEX(Tickets!$A$2:$A$161,_xlfn.AGGREGATE(15,6,(ROW(Tickets!$G$2:$G$161)-ROW(Tickets!$G$2)+1)/(Tickets!$G$2:$G$161=$C$3),ROWS($C$4:C143)))&amp;" - "&amp;INDEX(Tickets!$E$2:$E$161,_xlfn.AGGREGATE(15,6,(ROW(Tickets!$G$2:$G$161)-ROW(Tickets!$G$2)+1)/(Tickets!$G$2:$G$161=$C$3),ROWS($C$4:C143))),"")</f>
        <v/>
      </c>
      <c r="D143" s="2"/>
      <c r="E143" s="16" t="str">
        <f>IFERROR(INDEX(Tickets!$A$2:$A$161,_xlfn.AGGREGATE(15,6,(ROW(Tickets!$G$2:$G$161)-ROW(Tickets!$G$2)+1)/(Tickets!$G$2:$G$161=$E$3),ROWS($E$4:E143)))&amp;" - "&amp;INDEX(Tickets!$E$2:$E$161,_xlfn.AGGREGATE(15,6,(ROW(Tickets!$G$2:$G$161)-ROW(Tickets!$G$2)+1)/(Tickets!$G$2:$G$161=$E$3),ROWS($E$4:E143))),"")</f>
        <v/>
      </c>
      <c r="F143" s="2"/>
      <c r="G143" s="16" t="str">
        <f>IFERROR(INDEX(Tickets!$A$2:$A$161,_xlfn.AGGREGATE(15,6,(ROW(Tickets!$G$2:$G$161)-ROW(Tickets!$G$2)+1)/(Tickets!$G$2:$G$161=$G$3),ROWS($G$4:G143)))&amp;" - "&amp;INDEX(Tickets!$E$2:$E$161,_xlfn.AGGREGATE(15,6,(ROW(Tickets!$G$2:$G$161)-ROW(Tickets!$G$2)+1)/(Tickets!$G$2:$G$161=$G$3),ROWS($G$4:G143))),"")</f>
        <v/>
      </c>
      <c r="H143" s="2"/>
      <c r="I143" s="16" t="str">
        <f>IFERROR(INDEX(Tickets!$A$2:$A$161,_xlfn.AGGREGATE(15,6,(ROW(Tickets!$G$2:$G$161)-ROW(Tickets!$G$2)+1)/(Tickets!$G$2:$G$161=$I$3),ROWS($I$4:I143)))&amp;" - "&amp;INDEX(Tickets!$E$2:$E$161,_xlfn.AGGREGATE(15,6,(ROW(Tickets!$G$2:$G$161)-ROW(Tickets!$G$2)+1)/(Tickets!$G$2:$G$161=$I$3),ROWS($I$4:I143))),"")</f>
        <v/>
      </c>
      <c r="J143" s="2"/>
    </row>
    <row r="144" spans="1:10" ht="36" customHeight="1" x14ac:dyDescent="0.2">
      <c r="A144" s="16" t="str">
        <f>IFERROR(INDEX(Tickets!$A$2:$A$161,_xlfn.AGGREGATE(15,6,(ROW(Tickets!$G$2:$G$161)-ROW(Tickets!$G$2)+1)/(Tickets!$G$2:$G$161=$A$3),ROWS($A$4:A144)))&amp;" - "&amp;INDEX(Tickets!$E$2:$E$161,_xlfn.AGGREGATE(15,6,(ROW(Tickets!$G$2:$G$161)-ROW(Tickets!$G$2)+1)/(Tickets!$G$2:$G$161=$A$3),ROWS($A$4:A144))),"")</f>
        <v>WPT-151 - Test employer job management</v>
      </c>
      <c r="B144" s="2"/>
      <c r="C144" s="16" t="str">
        <f>IFERROR(INDEX(Tickets!$A$2:$A$161,_xlfn.AGGREGATE(15,6,(ROW(Tickets!$G$2:$G$161)-ROW(Tickets!$G$2)+1)/(Tickets!$G$2:$G$161=$C$3),ROWS($C$4:C144)))&amp;" - "&amp;INDEX(Tickets!$E$2:$E$161,_xlfn.AGGREGATE(15,6,(ROW(Tickets!$G$2:$G$161)-ROW(Tickets!$G$2)+1)/(Tickets!$G$2:$G$161=$C$3),ROWS($C$4:C144))),"")</f>
        <v/>
      </c>
      <c r="D144" s="2"/>
      <c r="E144" s="16" t="str">
        <f>IFERROR(INDEX(Tickets!$A$2:$A$161,_xlfn.AGGREGATE(15,6,(ROW(Tickets!$G$2:$G$161)-ROW(Tickets!$G$2)+1)/(Tickets!$G$2:$G$161=$E$3),ROWS($E$4:E144)))&amp;" - "&amp;INDEX(Tickets!$E$2:$E$161,_xlfn.AGGREGATE(15,6,(ROW(Tickets!$G$2:$G$161)-ROW(Tickets!$G$2)+1)/(Tickets!$G$2:$G$161=$E$3),ROWS($E$4:E144))),"")</f>
        <v/>
      </c>
      <c r="F144" s="2"/>
      <c r="G144" s="16" t="str">
        <f>IFERROR(INDEX(Tickets!$A$2:$A$161,_xlfn.AGGREGATE(15,6,(ROW(Tickets!$G$2:$G$161)-ROW(Tickets!$G$2)+1)/(Tickets!$G$2:$G$161=$G$3),ROWS($G$4:G144)))&amp;" - "&amp;INDEX(Tickets!$E$2:$E$161,_xlfn.AGGREGATE(15,6,(ROW(Tickets!$G$2:$G$161)-ROW(Tickets!$G$2)+1)/(Tickets!$G$2:$G$161=$G$3),ROWS($G$4:G144))),"")</f>
        <v/>
      </c>
      <c r="H144" s="2"/>
      <c r="I144" s="16" t="str">
        <f>IFERROR(INDEX(Tickets!$A$2:$A$161,_xlfn.AGGREGATE(15,6,(ROW(Tickets!$G$2:$G$161)-ROW(Tickets!$G$2)+1)/(Tickets!$G$2:$G$161=$I$3),ROWS($I$4:I144)))&amp;" - "&amp;INDEX(Tickets!$E$2:$E$161,_xlfn.AGGREGATE(15,6,(ROW(Tickets!$G$2:$G$161)-ROW(Tickets!$G$2)+1)/(Tickets!$G$2:$G$161=$I$3),ROWS($I$4:I144))),"")</f>
        <v/>
      </c>
      <c r="J144" s="2"/>
    </row>
    <row r="145" spans="1:10" ht="36" customHeight="1" x14ac:dyDescent="0.2">
      <c r="A145" s="16" t="str">
        <f>IFERROR(INDEX(Tickets!$A$2:$A$161,_xlfn.AGGREGATE(15,6,(ROW(Tickets!$G$2:$G$161)-ROW(Tickets!$G$2)+1)/(Tickets!$G$2:$G$161=$A$3),ROWS($A$4:A145)))&amp;" - "&amp;INDEX(Tickets!$E$2:$E$161,_xlfn.AGGREGATE(15,6,(ROW(Tickets!$G$2:$G$161)-ROW(Tickets!$G$2)+1)/(Tickets!$G$2:$G$161=$A$3),ROWS($A$4:A145))),"")</f>
        <v>WPT-152 - Test employer event management</v>
      </c>
      <c r="B145" s="2"/>
      <c r="C145" s="16" t="str">
        <f>IFERROR(INDEX(Tickets!$A$2:$A$161,_xlfn.AGGREGATE(15,6,(ROW(Tickets!$G$2:$G$161)-ROW(Tickets!$G$2)+1)/(Tickets!$G$2:$G$161=$C$3),ROWS($C$4:C145)))&amp;" - "&amp;INDEX(Tickets!$E$2:$E$161,_xlfn.AGGREGATE(15,6,(ROW(Tickets!$G$2:$G$161)-ROW(Tickets!$G$2)+1)/(Tickets!$G$2:$G$161=$C$3),ROWS($C$4:C145))),"")</f>
        <v/>
      </c>
      <c r="D145" s="2"/>
      <c r="E145" s="16" t="str">
        <f>IFERROR(INDEX(Tickets!$A$2:$A$161,_xlfn.AGGREGATE(15,6,(ROW(Tickets!$G$2:$G$161)-ROW(Tickets!$G$2)+1)/(Tickets!$G$2:$G$161=$E$3),ROWS($E$4:E145)))&amp;" - "&amp;INDEX(Tickets!$E$2:$E$161,_xlfn.AGGREGATE(15,6,(ROW(Tickets!$G$2:$G$161)-ROW(Tickets!$G$2)+1)/(Tickets!$G$2:$G$161=$E$3),ROWS($E$4:E145))),"")</f>
        <v/>
      </c>
      <c r="F145" s="2"/>
      <c r="G145" s="16" t="str">
        <f>IFERROR(INDEX(Tickets!$A$2:$A$161,_xlfn.AGGREGATE(15,6,(ROW(Tickets!$G$2:$G$161)-ROW(Tickets!$G$2)+1)/(Tickets!$G$2:$G$161=$G$3),ROWS($G$4:G145)))&amp;" - "&amp;INDEX(Tickets!$E$2:$E$161,_xlfn.AGGREGATE(15,6,(ROW(Tickets!$G$2:$G$161)-ROW(Tickets!$G$2)+1)/(Tickets!$G$2:$G$161=$G$3),ROWS($G$4:G145))),"")</f>
        <v/>
      </c>
      <c r="H145" s="2"/>
      <c r="I145" s="16" t="str">
        <f>IFERROR(INDEX(Tickets!$A$2:$A$161,_xlfn.AGGREGATE(15,6,(ROW(Tickets!$G$2:$G$161)-ROW(Tickets!$G$2)+1)/(Tickets!$G$2:$G$161=$I$3),ROWS($I$4:I145)))&amp;" - "&amp;INDEX(Tickets!$E$2:$E$161,_xlfn.AGGREGATE(15,6,(ROW(Tickets!$G$2:$G$161)-ROW(Tickets!$G$2)+1)/(Tickets!$G$2:$G$161=$I$3),ROWS($I$4:I145))),"")</f>
        <v/>
      </c>
      <c r="J145" s="2"/>
    </row>
    <row r="146" spans="1:10" ht="36" customHeight="1" x14ac:dyDescent="0.2">
      <c r="A146" s="16" t="str">
        <f>IFERROR(INDEX(Tickets!$A$2:$A$161,_xlfn.AGGREGATE(15,6,(ROW(Tickets!$G$2:$G$161)-ROW(Tickets!$G$2)+1)/(Tickets!$G$2:$G$161=$A$3),ROWS($A$4:A146)))&amp;" - "&amp;INDEX(Tickets!$E$2:$E$161,_xlfn.AGGREGATE(15,6,(ROW(Tickets!$G$2:$G$161)-ROW(Tickets!$G$2)+1)/(Tickets!$G$2:$G$161=$A$3),ROWS($A$4:A146))),"")</f>
        <v>WPT-153 - Test Employee portal flows</v>
      </c>
      <c r="B146" s="2"/>
      <c r="C146" s="16" t="str">
        <f>IFERROR(INDEX(Tickets!$A$2:$A$161,_xlfn.AGGREGATE(15,6,(ROW(Tickets!$G$2:$G$161)-ROW(Tickets!$G$2)+1)/(Tickets!$G$2:$G$161=$C$3),ROWS($C$4:C146)))&amp;" - "&amp;INDEX(Tickets!$E$2:$E$161,_xlfn.AGGREGATE(15,6,(ROW(Tickets!$G$2:$G$161)-ROW(Tickets!$G$2)+1)/(Tickets!$G$2:$G$161=$C$3),ROWS($C$4:C146))),"")</f>
        <v/>
      </c>
      <c r="D146" s="2"/>
      <c r="E146" s="16" t="str">
        <f>IFERROR(INDEX(Tickets!$A$2:$A$161,_xlfn.AGGREGATE(15,6,(ROW(Tickets!$G$2:$G$161)-ROW(Tickets!$G$2)+1)/(Tickets!$G$2:$G$161=$E$3),ROWS($E$4:E146)))&amp;" - "&amp;INDEX(Tickets!$E$2:$E$161,_xlfn.AGGREGATE(15,6,(ROW(Tickets!$G$2:$G$161)-ROW(Tickets!$G$2)+1)/(Tickets!$G$2:$G$161=$E$3),ROWS($E$4:E146))),"")</f>
        <v/>
      </c>
      <c r="F146" s="2"/>
      <c r="G146" s="16" t="str">
        <f>IFERROR(INDEX(Tickets!$A$2:$A$161,_xlfn.AGGREGATE(15,6,(ROW(Tickets!$G$2:$G$161)-ROW(Tickets!$G$2)+1)/(Tickets!$G$2:$G$161=$G$3),ROWS($G$4:G146)))&amp;" - "&amp;INDEX(Tickets!$E$2:$E$161,_xlfn.AGGREGATE(15,6,(ROW(Tickets!$G$2:$G$161)-ROW(Tickets!$G$2)+1)/(Tickets!$G$2:$G$161=$G$3),ROWS($G$4:G146))),"")</f>
        <v/>
      </c>
      <c r="H146" s="2"/>
      <c r="I146" s="16" t="str">
        <f>IFERROR(INDEX(Tickets!$A$2:$A$161,_xlfn.AGGREGATE(15,6,(ROW(Tickets!$G$2:$G$161)-ROW(Tickets!$G$2)+1)/(Tickets!$G$2:$G$161=$I$3),ROWS($I$4:I146)))&amp;" - "&amp;INDEX(Tickets!$E$2:$E$161,_xlfn.AGGREGATE(15,6,(ROW(Tickets!$G$2:$G$161)-ROW(Tickets!$G$2)+1)/(Tickets!$G$2:$G$161=$I$3),ROWS($I$4:I146))),"")</f>
        <v/>
      </c>
      <c r="J146" s="2"/>
    </row>
    <row r="147" spans="1:10" ht="36" customHeight="1" x14ac:dyDescent="0.2">
      <c r="A147" s="16" t="str">
        <f>IFERROR(INDEX(Tickets!$A$2:$A$161,_xlfn.AGGREGATE(15,6,(ROW(Tickets!$G$2:$G$161)-ROW(Tickets!$G$2)+1)/(Tickets!$G$2:$G$161=$A$3),ROWS($A$4:A147)))&amp;" - "&amp;INDEX(Tickets!$E$2:$E$161,_xlfn.AGGREGATE(15,6,(ROW(Tickets!$G$2:$G$161)-ROW(Tickets!$G$2)+1)/(Tickets!$G$2:$G$161=$A$3),ROWS($A$4:A147))),"")</f>
        <v>WPT-154 - Test Employee registration and login</v>
      </c>
      <c r="B147" s="2"/>
      <c r="C147" s="16" t="str">
        <f>IFERROR(INDEX(Tickets!$A$2:$A$161,_xlfn.AGGREGATE(15,6,(ROW(Tickets!$G$2:$G$161)-ROW(Tickets!$G$2)+1)/(Tickets!$G$2:$G$161=$C$3),ROWS($C$4:C147)))&amp;" - "&amp;INDEX(Tickets!$E$2:$E$161,_xlfn.AGGREGATE(15,6,(ROW(Tickets!$G$2:$G$161)-ROW(Tickets!$G$2)+1)/(Tickets!$G$2:$G$161=$C$3),ROWS($C$4:C147))),"")</f>
        <v/>
      </c>
      <c r="D147" s="2"/>
      <c r="E147" s="16" t="str">
        <f>IFERROR(INDEX(Tickets!$A$2:$A$161,_xlfn.AGGREGATE(15,6,(ROW(Tickets!$G$2:$G$161)-ROW(Tickets!$G$2)+1)/(Tickets!$G$2:$G$161=$E$3),ROWS($E$4:E147)))&amp;" - "&amp;INDEX(Tickets!$E$2:$E$161,_xlfn.AGGREGATE(15,6,(ROW(Tickets!$G$2:$G$161)-ROW(Tickets!$G$2)+1)/(Tickets!$G$2:$G$161=$E$3),ROWS($E$4:E147))),"")</f>
        <v/>
      </c>
      <c r="F147" s="2"/>
      <c r="G147" s="16" t="str">
        <f>IFERROR(INDEX(Tickets!$A$2:$A$161,_xlfn.AGGREGATE(15,6,(ROW(Tickets!$G$2:$G$161)-ROW(Tickets!$G$2)+1)/(Tickets!$G$2:$G$161=$G$3),ROWS($G$4:G147)))&amp;" - "&amp;INDEX(Tickets!$E$2:$E$161,_xlfn.AGGREGATE(15,6,(ROW(Tickets!$G$2:$G$161)-ROW(Tickets!$G$2)+1)/(Tickets!$G$2:$G$161=$G$3),ROWS($G$4:G147))),"")</f>
        <v/>
      </c>
      <c r="H147" s="2"/>
      <c r="I147" s="16" t="str">
        <f>IFERROR(INDEX(Tickets!$A$2:$A$161,_xlfn.AGGREGATE(15,6,(ROW(Tickets!$G$2:$G$161)-ROW(Tickets!$G$2)+1)/(Tickets!$G$2:$G$161=$I$3),ROWS($I$4:I147)))&amp;" - "&amp;INDEX(Tickets!$E$2:$E$161,_xlfn.AGGREGATE(15,6,(ROW(Tickets!$G$2:$G$161)-ROW(Tickets!$G$2)+1)/(Tickets!$G$2:$G$161=$I$3),ROWS($I$4:I147))),"")</f>
        <v/>
      </c>
      <c r="J147" s="2"/>
    </row>
    <row r="148" spans="1:10" ht="36" customHeight="1" x14ac:dyDescent="0.2">
      <c r="A148" s="16" t="str">
        <f>IFERROR(INDEX(Tickets!$A$2:$A$161,_xlfn.AGGREGATE(15,6,(ROW(Tickets!$G$2:$G$161)-ROW(Tickets!$G$2)+1)/(Tickets!$G$2:$G$161=$A$3),ROWS($A$4:A148)))&amp;" - "&amp;INDEX(Tickets!$E$2:$E$161,_xlfn.AGGREGATE(15,6,(ROW(Tickets!$G$2:$G$161)-ROW(Tickets!$G$2)+1)/(Tickets!$G$2:$G$161=$A$3),ROWS($A$4:A148))),"")</f>
        <v>WPT-155 - Test job search and application flow</v>
      </c>
      <c r="B148" s="2"/>
      <c r="C148" s="16" t="str">
        <f>IFERROR(INDEX(Tickets!$A$2:$A$161,_xlfn.AGGREGATE(15,6,(ROW(Tickets!$G$2:$G$161)-ROW(Tickets!$G$2)+1)/(Tickets!$G$2:$G$161=$C$3),ROWS($C$4:C148)))&amp;" - "&amp;INDEX(Tickets!$E$2:$E$161,_xlfn.AGGREGATE(15,6,(ROW(Tickets!$G$2:$G$161)-ROW(Tickets!$G$2)+1)/(Tickets!$G$2:$G$161=$C$3),ROWS($C$4:C148))),"")</f>
        <v/>
      </c>
      <c r="D148" s="2"/>
      <c r="E148" s="16" t="str">
        <f>IFERROR(INDEX(Tickets!$A$2:$A$161,_xlfn.AGGREGATE(15,6,(ROW(Tickets!$G$2:$G$161)-ROW(Tickets!$G$2)+1)/(Tickets!$G$2:$G$161=$E$3),ROWS($E$4:E148)))&amp;" - "&amp;INDEX(Tickets!$E$2:$E$161,_xlfn.AGGREGATE(15,6,(ROW(Tickets!$G$2:$G$161)-ROW(Tickets!$G$2)+1)/(Tickets!$G$2:$G$161=$E$3),ROWS($E$4:E148))),"")</f>
        <v/>
      </c>
      <c r="F148" s="2"/>
      <c r="G148" s="16" t="str">
        <f>IFERROR(INDEX(Tickets!$A$2:$A$161,_xlfn.AGGREGATE(15,6,(ROW(Tickets!$G$2:$G$161)-ROW(Tickets!$G$2)+1)/(Tickets!$G$2:$G$161=$G$3),ROWS($G$4:G148)))&amp;" - "&amp;INDEX(Tickets!$E$2:$E$161,_xlfn.AGGREGATE(15,6,(ROW(Tickets!$G$2:$G$161)-ROW(Tickets!$G$2)+1)/(Tickets!$G$2:$G$161=$G$3),ROWS($G$4:G148))),"")</f>
        <v/>
      </c>
      <c r="H148" s="2"/>
      <c r="I148" s="16" t="str">
        <f>IFERROR(INDEX(Tickets!$A$2:$A$161,_xlfn.AGGREGATE(15,6,(ROW(Tickets!$G$2:$G$161)-ROW(Tickets!$G$2)+1)/(Tickets!$G$2:$G$161=$I$3),ROWS($I$4:I148)))&amp;" - "&amp;INDEX(Tickets!$E$2:$E$161,_xlfn.AGGREGATE(15,6,(ROW(Tickets!$G$2:$G$161)-ROW(Tickets!$G$2)+1)/(Tickets!$G$2:$G$161=$I$3),ROWS($I$4:I148))),"")</f>
        <v/>
      </c>
      <c r="J148" s="2"/>
    </row>
    <row r="149" spans="1:10" ht="36" customHeight="1" x14ac:dyDescent="0.2">
      <c r="A149" s="16" t="str">
        <f>IFERROR(INDEX(Tickets!$A$2:$A$161,_xlfn.AGGREGATE(15,6,(ROW(Tickets!$G$2:$G$161)-ROW(Tickets!$G$2)+1)/(Tickets!$G$2:$G$161=$A$3),ROWS($A$4:A149)))&amp;" - "&amp;INDEX(Tickets!$E$2:$E$161,_xlfn.AGGREGATE(15,6,(ROW(Tickets!$G$2:$G$161)-ROW(Tickets!$G$2)+1)/(Tickets!$G$2:$G$161=$A$3),ROWS($A$4:A149))),"")</f>
        <v>WPT-156 - Test event registration and cancellation</v>
      </c>
      <c r="B149" s="2"/>
      <c r="C149" s="16" t="str">
        <f>IFERROR(INDEX(Tickets!$A$2:$A$161,_xlfn.AGGREGATE(15,6,(ROW(Tickets!$G$2:$G$161)-ROW(Tickets!$G$2)+1)/(Tickets!$G$2:$G$161=$C$3),ROWS($C$4:C149)))&amp;" - "&amp;INDEX(Tickets!$E$2:$E$161,_xlfn.AGGREGATE(15,6,(ROW(Tickets!$G$2:$G$161)-ROW(Tickets!$G$2)+1)/(Tickets!$G$2:$G$161=$C$3),ROWS($C$4:C149))),"")</f>
        <v/>
      </c>
      <c r="D149" s="2"/>
      <c r="E149" s="16" t="str">
        <f>IFERROR(INDEX(Tickets!$A$2:$A$161,_xlfn.AGGREGATE(15,6,(ROW(Tickets!$G$2:$G$161)-ROW(Tickets!$G$2)+1)/(Tickets!$G$2:$G$161=$E$3),ROWS($E$4:E149)))&amp;" - "&amp;INDEX(Tickets!$E$2:$E$161,_xlfn.AGGREGATE(15,6,(ROW(Tickets!$G$2:$G$161)-ROW(Tickets!$G$2)+1)/(Tickets!$G$2:$G$161=$E$3),ROWS($E$4:E149))),"")</f>
        <v/>
      </c>
      <c r="F149" s="2"/>
      <c r="G149" s="16" t="str">
        <f>IFERROR(INDEX(Tickets!$A$2:$A$161,_xlfn.AGGREGATE(15,6,(ROW(Tickets!$G$2:$G$161)-ROW(Tickets!$G$2)+1)/(Tickets!$G$2:$G$161=$G$3),ROWS($G$4:G149)))&amp;" - "&amp;INDEX(Tickets!$E$2:$E$161,_xlfn.AGGREGATE(15,6,(ROW(Tickets!$G$2:$G$161)-ROW(Tickets!$G$2)+1)/(Tickets!$G$2:$G$161=$G$3),ROWS($G$4:G149))),"")</f>
        <v/>
      </c>
      <c r="H149" s="2"/>
      <c r="I149" s="16" t="str">
        <f>IFERROR(INDEX(Tickets!$A$2:$A$161,_xlfn.AGGREGATE(15,6,(ROW(Tickets!$G$2:$G$161)-ROW(Tickets!$G$2)+1)/(Tickets!$G$2:$G$161=$I$3),ROWS($I$4:I149)))&amp;" - "&amp;INDEX(Tickets!$E$2:$E$161,_xlfn.AGGREGATE(15,6,(ROW(Tickets!$G$2:$G$161)-ROW(Tickets!$G$2)+1)/(Tickets!$G$2:$G$161=$I$3),ROWS($I$4:I149))),"")</f>
        <v/>
      </c>
      <c r="J149" s="2"/>
    </row>
    <row r="150" spans="1:10" ht="36" customHeight="1" x14ac:dyDescent="0.2">
      <c r="A150" s="16" t="str">
        <f>IFERROR(INDEX(Tickets!$A$2:$A$161,_xlfn.AGGREGATE(15,6,(ROW(Tickets!$G$2:$G$161)-ROW(Tickets!$G$2)+1)/(Tickets!$G$2:$G$161=$A$3),ROWS($A$4:A150)))&amp;" - "&amp;INDEX(Tickets!$E$2:$E$161,_xlfn.AGGREGATE(15,6,(ROW(Tickets!$G$2:$G$161)-ROW(Tickets!$G$2)+1)/(Tickets!$G$2:$G$161=$A$3),ROWS($A$4:A150))),"")</f>
        <v>WPT-157 - Test shared features</v>
      </c>
      <c r="B150" s="2"/>
      <c r="C150" s="16" t="str">
        <f>IFERROR(INDEX(Tickets!$A$2:$A$161,_xlfn.AGGREGATE(15,6,(ROW(Tickets!$G$2:$G$161)-ROW(Tickets!$G$2)+1)/(Tickets!$G$2:$G$161=$C$3),ROWS($C$4:C150)))&amp;" - "&amp;INDEX(Tickets!$E$2:$E$161,_xlfn.AGGREGATE(15,6,(ROW(Tickets!$G$2:$G$161)-ROW(Tickets!$G$2)+1)/(Tickets!$G$2:$G$161=$C$3),ROWS($C$4:C150))),"")</f>
        <v/>
      </c>
      <c r="D150" s="2"/>
      <c r="E150" s="16" t="str">
        <f>IFERROR(INDEX(Tickets!$A$2:$A$161,_xlfn.AGGREGATE(15,6,(ROW(Tickets!$G$2:$G$161)-ROW(Tickets!$G$2)+1)/(Tickets!$G$2:$G$161=$E$3),ROWS($E$4:E150)))&amp;" - "&amp;INDEX(Tickets!$E$2:$E$161,_xlfn.AGGREGATE(15,6,(ROW(Tickets!$G$2:$G$161)-ROW(Tickets!$G$2)+1)/(Tickets!$G$2:$G$161=$E$3),ROWS($E$4:E150))),"")</f>
        <v/>
      </c>
      <c r="F150" s="2"/>
      <c r="G150" s="16" t="str">
        <f>IFERROR(INDEX(Tickets!$A$2:$A$161,_xlfn.AGGREGATE(15,6,(ROW(Tickets!$G$2:$G$161)-ROW(Tickets!$G$2)+1)/(Tickets!$G$2:$G$161=$G$3),ROWS($G$4:G150)))&amp;" - "&amp;INDEX(Tickets!$E$2:$E$161,_xlfn.AGGREGATE(15,6,(ROW(Tickets!$G$2:$G$161)-ROW(Tickets!$G$2)+1)/(Tickets!$G$2:$G$161=$G$3),ROWS($G$4:G150))),"")</f>
        <v/>
      </c>
      <c r="H150" s="2"/>
      <c r="I150" s="16" t="str">
        <f>IFERROR(INDEX(Tickets!$A$2:$A$161,_xlfn.AGGREGATE(15,6,(ROW(Tickets!$G$2:$G$161)-ROW(Tickets!$G$2)+1)/(Tickets!$G$2:$G$161=$I$3),ROWS($I$4:I150)))&amp;" - "&amp;INDEX(Tickets!$E$2:$E$161,_xlfn.AGGREGATE(15,6,(ROW(Tickets!$G$2:$G$161)-ROW(Tickets!$G$2)+1)/(Tickets!$G$2:$G$161=$I$3),ROWS($I$4:I150))),"")</f>
        <v/>
      </c>
      <c r="J150" s="2"/>
    </row>
    <row r="151" spans="1:10" ht="36" customHeight="1" x14ac:dyDescent="0.2">
      <c r="A151" s="16" t="str">
        <f>IFERROR(INDEX(Tickets!$A$2:$A$161,_xlfn.AGGREGATE(15,6,(ROW(Tickets!$G$2:$G$161)-ROW(Tickets!$G$2)+1)/(Tickets!$G$2:$G$161=$A$3),ROWS($A$4:A151)))&amp;" - "&amp;INDEX(Tickets!$E$2:$E$161,_xlfn.AGGREGATE(15,6,(ROW(Tickets!$G$2:$G$161)-ROW(Tickets!$G$2)+1)/(Tickets!$G$2:$G$161=$A$3),ROWS($A$4:A151))),"")</f>
        <v>WPT-158 - Test profile menu actions</v>
      </c>
      <c r="B151" s="2"/>
      <c r="C151" s="16" t="str">
        <f>IFERROR(INDEX(Tickets!$A$2:$A$161,_xlfn.AGGREGATE(15,6,(ROW(Tickets!$G$2:$G$161)-ROW(Tickets!$G$2)+1)/(Tickets!$G$2:$G$161=$C$3),ROWS($C$4:C151)))&amp;" - "&amp;INDEX(Tickets!$E$2:$E$161,_xlfn.AGGREGATE(15,6,(ROW(Tickets!$G$2:$G$161)-ROW(Tickets!$G$2)+1)/(Tickets!$G$2:$G$161=$C$3),ROWS($C$4:C151))),"")</f>
        <v/>
      </c>
      <c r="D151" s="2"/>
      <c r="E151" s="16" t="str">
        <f>IFERROR(INDEX(Tickets!$A$2:$A$161,_xlfn.AGGREGATE(15,6,(ROW(Tickets!$G$2:$G$161)-ROW(Tickets!$G$2)+1)/(Tickets!$G$2:$G$161=$E$3),ROWS($E$4:E151)))&amp;" - "&amp;INDEX(Tickets!$E$2:$E$161,_xlfn.AGGREGATE(15,6,(ROW(Tickets!$G$2:$G$161)-ROW(Tickets!$G$2)+1)/(Tickets!$G$2:$G$161=$E$3),ROWS($E$4:E151))),"")</f>
        <v/>
      </c>
      <c r="F151" s="2"/>
      <c r="G151" s="16" t="str">
        <f>IFERROR(INDEX(Tickets!$A$2:$A$161,_xlfn.AGGREGATE(15,6,(ROW(Tickets!$G$2:$G$161)-ROW(Tickets!$G$2)+1)/(Tickets!$G$2:$G$161=$G$3),ROWS($G$4:G151)))&amp;" - "&amp;INDEX(Tickets!$E$2:$E$161,_xlfn.AGGREGATE(15,6,(ROW(Tickets!$G$2:$G$161)-ROW(Tickets!$G$2)+1)/(Tickets!$G$2:$G$161=$G$3),ROWS($G$4:G151))),"")</f>
        <v/>
      </c>
      <c r="H151" s="2"/>
      <c r="I151" s="16" t="str">
        <f>IFERROR(INDEX(Tickets!$A$2:$A$161,_xlfn.AGGREGATE(15,6,(ROW(Tickets!$G$2:$G$161)-ROW(Tickets!$G$2)+1)/(Tickets!$G$2:$G$161=$I$3),ROWS($I$4:I151)))&amp;" - "&amp;INDEX(Tickets!$E$2:$E$161,_xlfn.AGGREGATE(15,6,(ROW(Tickets!$G$2:$G$161)-ROW(Tickets!$G$2)+1)/(Tickets!$G$2:$G$161=$I$3),ROWS($I$4:I151))),"")</f>
        <v/>
      </c>
      <c r="J151" s="2"/>
    </row>
    <row r="152" spans="1:10" ht="36" customHeight="1" x14ac:dyDescent="0.2">
      <c r="A152" s="16" t="str">
        <f>IFERROR(INDEX(Tickets!$A$2:$A$161,_xlfn.AGGREGATE(15,6,(ROW(Tickets!$G$2:$G$161)-ROW(Tickets!$G$2)+1)/(Tickets!$G$2:$G$161=$A$3),ROWS($A$4:A152)))&amp;" - "&amp;INDEX(Tickets!$E$2:$E$161,_xlfn.AGGREGATE(15,6,(ROW(Tickets!$G$2:$G$161)-ROW(Tickets!$G$2)+1)/(Tickets!$G$2:$G$161=$A$3),ROWS($A$4:A152))),"")</f>
        <v>WPT-159 - Test contact support form</v>
      </c>
      <c r="B152" s="2"/>
      <c r="C152" s="16" t="str">
        <f>IFERROR(INDEX(Tickets!$A$2:$A$161,_xlfn.AGGREGATE(15,6,(ROW(Tickets!$G$2:$G$161)-ROW(Tickets!$G$2)+1)/(Tickets!$G$2:$G$161=$C$3),ROWS($C$4:C152)))&amp;" - "&amp;INDEX(Tickets!$E$2:$E$161,_xlfn.AGGREGATE(15,6,(ROW(Tickets!$G$2:$G$161)-ROW(Tickets!$G$2)+1)/(Tickets!$G$2:$G$161=$C$3),ROWS($C$4:C152))),"")</f>
        <v/>
      </c>
      <c r="D152" s="2"/>
      <c r="E152" s="16" t="str">
        <f>IFERROR(INDEX(Tickets!$A$2:$A$161,_xlfn.AGGREGATE(15,6,(ROW(Tickets!$G$2:$G$161)-ROW(Tickets!$G$2)+1)/(Tickets!$G$2:$G$161=$E$3),ROWS($E$4:E152)))&amp;" - "&amp;INDEX(Tickets!$E$2:$E$161,_xlfn.AGGREGATE(15,6,(ROW(Tickets!$G$2:$G$161)-ROW(Tickets!$G$2)+1)/(Tickets!$G$2:$G$161=$E$3),ROWS($E$4:E152))),"")</f>
        <v/>
      </c>
      <c r="F152" s="2"/>
      <c r="G152" s="16" t="str">
        <f>IFERROR(INDEX(Tickets!$A$2:$A$161,_xlfn.AGGREGATE(15,6,(ROW(Tickets!$G$2:$G$161)-ROW(Tickets!$G$2)+1)/(Tickets!$G$2:$G$161=$G$3),ROWS($G$4:G152)))&amp;" - "&amp;INDEX(Tickets!$E$2:$E$161,_xlfn.AGGREGATE(15,6,(ROW(Tickets!$G$2:$G$161)-ROW(Tickets!$G$2)+1)/(Tickets!$G$2:$G$161=$G$3),ROWS($G$4:G152))),"")</f>
        <v/>
      </c>
      <c r="H152" s="2"/>
      <c r="I152" s="16" t="str">
        <f>IFERROR(INDEX(Tickets!$A$2:$A$161,_xlfn.AGGREGATE(15,6,(ROW(Tickets!$G$2:$G$161)-ROW(Tickets!$G$2)+1)/(Tickets!$G$2:$G$161=$I$3),ROWS($I$4:I152)))&amp;" - "&amp;INDEX(Tickets!$E$2:$E$161,_xlfn.AGGREGATE(15,6,(ROW(Tickets!$G$2:$G$161)-ROW(Tickets!$G$2)+1)/(Tickets!$G$2:$G$161=$I$3),ROWS($I$4:I152))),"")</f>
        <v/>
      </c>
      <c r="J152" s="2"/>
    </row>
    <row r="153" spans="1:10" ht="36" customHeight="1" x14ac:dyDescent="0.2">
      <c r="A153" s="16" t="str">
        <f>IFERROR(INDEX(Tickets!$A$2:$A$161,_xlfn.AGGREGATE(15,6,(ROW(Tickets!$G$2:$G$161)-ROW(Tickets!$G$2)+1)/(Tickets!$G$2:$G$161=$A$3),ROWS($A$4:A153)))&amp;" - "&amp;INDEX(Tickets!$E$2:$E$161,_xlfn.AGGREGATE(15,6,(ROW(Tickets!$G$2:$G$161)-ROW(Tickets!$G$2)+1)/(Tickets!$G$2:$G$161=$A$3),ROWS($A$4:A153))),"")</f>
        <v>WPT-160 - Test notifications</v>
      </c>
      <c r="B153" s="2"/>
      <c r="C153" s="16" t="str">
        <f>IFERROR(INDEX(Tickets!$A$2:$A$161,_xlfn.AGGREGATE(15,6,(ROW(Tickets!$G$2:$G$161)-ROW(Tickets!$G$2)+1)/(Tickets!$G$2:$G$161=$C$3),ROWS($C$4:C153)))&amp;" - "&amp;INDEX(Tickets!$E$2:$E$161,_xlfn.AGGREGATE(15,6,(ROW(Tickets!$G$2:$G$161)-ROW(Tickets!$G$2)+1)/(Tickets!$G$2:$G$161=$C$3),ROWS($C$4:C153))),"")</f>
        <v/>
      </c>
      <c r="D153" s="2"/>
      <c r="E153" s="16" t="str">
        <f>IFERROR(INDEX(Tickets!$A$2:$A$161,_xlfn.AGGREGATE(15,6,(ROW(Tickets!$G$2:$G$161)-ROW(Tickets!$G$2)+1)/(Tickets!$G$2:$G$161=$E$3),ROWS($E$4:E153)))&amp;" - "&amp;INDEX(Tickets!$E$2:$E$161,_xlfn.AGGREGATE(15,6,(ROW(Tickets!$G$2:$G$161)-ROW(Tickets!$G$2)+1)/(Tickets!$G$2:$G$161=$E$3),ROWS($E$4:E153))),"")</f>
        <v/>
      </c>
      <c r="F153" s="2"/>
      <c r="G153" s="16" t="str">
        <f>IFERROR(INDEX(Tickets!$A$2:$A$161,_xlfn.AGGREGATE(15,6,(ROW(Tickets!$G$2:$G$161)-ROW(Tickets!$G$2)+1)/(Tickets!$G$2:$G$161=$G$3),ROWS($G$4:G153)))&amp;" - "&amp;INDEX(Tickets!$E$2:$E$161,_xlfn.AGGREGATE(15,6,(ROW(Tickets!$G$2:$G$161)-ROW(Tickets!$G$2)+1)/(Tickets!$G$2:$G$161=$G$3),ROWS($G$4:G153))),"")</f>
        <v/>
      </c>
      <c r="H153" s="2"/>
      <c r="I153" s="16" t="str">
        <f>IFERROR(INDEX(Tickets!$A$2:$A$161,_xlfn.AGGREGATE(15,6,(ROW(Tickets!$G$2:$G$161)-ROW(Tickets!$G$2)+1)/(Tickets!$G$2:$G$161=$I$3),ROWS($I$4:I153)))&amp;" - "&amp;INDEX(Tickets!$E$2:$E$161,_xlfn.AGGREGATE(15,6,(ROW(Tickets!$G$2:$G$161)-ROW(Tickets!$G$2)+1)/(Tickets!$G$2:$G$161=$I$3),ROWS($I$4:I153))),"")</f>
        <v/>
      </c>
      <c r="J153" s="2"/>
    </row>
    <row r="154" spans="1:10" ht="36" customHeight="1" x14ac:dyDescent="0.2">
      <c r="A154" s="16" t="str">
        <f>IFERROR(INDEX(Tickets!$A$2:$A$161,_xlfn.AGGREGATE(15,6,(ROW(Tickets!$G$2:$G$161)-ROW(Tickets!$G$2)+1)/(Tickets!$G$2:$G$161=$A$3),ROWS($A$4:A154)))&amp;" - "&amp;INDEX(Tickets!$E$2:$E$161,_xlfn.AGGREGATE(15,6,(ROW(Tickets!$G$2:$G$161)-ROW(Tickets!$G$2)+1)/(Tickets!$G$2:$G$161=$A$3),ROWS($A$4:A154))),"")</f>
        <v/>
      </c>
      <c r="B154" s="2"/>
      <c r="C154" s="16" t="str">
        <f>IFERROR(INDEX(Tickets!$A$2:$A$161,_xlfn.AGGREGATE(15,6,(ROW(Tickets!$G$2:$G$161)-ROW(Tickets!$G$2)+1)/(Tickets!$G$2:$G$161=$C$3),ROWS($C$4:C154)))&amp;" - "&amp;INDEX(Tickets!$E$2:$E$161,_xlfn.AGGREGATE(15,6,(ROW(Tickets!$G$2:$G$161)-ROW(Tickets!$G$2)+1)/(Tickets!$G$2:$G$161=$C$3),ROWS($C$4:C154))),"")</f>
        <v/>
      </c>
      <c r="D154" s="2"/>
      <c r="E154" s="16" t="str">
        <f>IFERROR(INDEX(Tickets!$A$2:$A$161,_xlfn.AGGREGATE(15,6,(ROW(Tickets!$G$2:$G$161)-ROW(Tickets!$G$2)+1)/(Tickets!$G$2:$G$161=$E$3),ROWS($E$4:E154)))&amp;" - "&amp;INDEX(Tickets!$E$2:$E$161,_xlfn.AGGREGATE(15,6,(ROW(Tickets!$G$2:$G$161)-ROW(Tickets!$G$2)+1)/(Tickets!$G$2:$G$161=$E$3),ROWS($E$4:E154))),"")</f>
        <v/>
      </c>
      <c r="F154" s="2"/>
      <c r="G154" s="16" t="str">
        <f>IFERROR(INDEX(Tickets!$A$2:$A$161,_xlfn.AGGREGATE(15,6,(ROW(Tickets!$G$2:$G$161)-ROW(Tickets!$G$2)+1)/(Tickets!$G$2:$G$161=$G$3),ROWS($G$4:G154)))&amp;" - "&amp;INDEX(Tickets!$E$2:$E$161,_xlfn.AGGREGATE(15,6,(ROW(Tickets!$G$2:$G$161)-ROW(Tickets!$G$2)+1)/(Tickets!$G$2:$G$161=$G$3),ROWS($G$4:G154))),"")</f>
        <v/>
      </c>
      <c r="H154" s="2"/>
      <c r="I154" s="16" t="str">
        <f>IFERROR(INDEX(Tickets!$A$2:$A$161,_xlfn.AGGREGATE(15,6,(ROW(Tickets!$G$2:$G$161)-ROW(Tickets!$G$2)+1)/(Tickets!$G$2:$G$161=$I$3),ROWS($I$4:I154)))&amp;" - "&amp;INDEX(Tickets!$E$2:$E$161,_xlfn.AGGREGATE(15,6,(ROW(Tickets!$G$2:$G$161)-ROW(Tickets!$G$2)+1)/(Tickets!$G$2:$G$161=$I$3),ROWS($I$4:I154))),"")</f>
        <v/>
      </c>
      <c r="J154" s="2"/>
    </row>
    <row r="155" spans="1:10" ht="36" customHeight="1" x14ac:dyDescent="0.2">
      <c r="A155" s="16" t="str">
        <f>IFERROR(INDEX(Tickets!$A$2:$A$161,_xlfn.AGGREGATE(15,6,(ROW(Tickets!$G$2:$G$161)-ROW(Tickets!$G$2)+1)/(Tickets!$G$2:$G$161=$A$3),ROWS($A$4:A155)))&amp;" - "&amp;INDEX(Tickets!$E$2:$E$161,_xlfn.AGGREGATE(15,6,(ROW(Tickets!$G$2:$G$161)-ROW(Tickets!$G$2)+1)/(Tickets!$G$2:$G$161=$A$3),ROWS($A$4:A155))),"")</f>
        <v/>
      </c>
      <c r="B155" s="2"/>
      <c r="C155" s="16" t="str">
        <f>IFERROR(INDEX(Tickets!$A$2:$A$161,_xlfn.AGGREGATE(15,6,(ROW(Tickets!$G$2:$G$161)-ROW(Tickets!$G$2)+1)/(Tickets!$G$2:$G$161=$C$3),ROWS($C$4:C155)))&amp;" - "&amp;INDEX(Tickets!$E$2:$E$161,_xlfn.AGGREGATE(15,6,(ROW(Tickets!$G$2:$G$161)-ROW(Tickets!$G$2)+1)/(Tickets!$G$2:$G$161=$C$3),ROWS($C$4:C155))),"")</f>
        <v/>
      </c>
      <c r="D155" s="2"/>
      <c r="E155" s="16" t="str">
        <f>IFERROR(INDEX(Tickets!$A$2:$A$161,_xlfn.AGGREGATE(15,6,(ROW(Tickets!$G$2:$G$161)-ROW(Tickets!$G$2)+1)/(Tickets!$G$2:$G$161=$E$3),ROWS($E$4:E155)))&amp;" - "&amp;INDEX(Tickets!$E$2:$E$161,_xlfn.AGGREGATE(15,6,(ROW(Tickets!$G$2:$G$161)-ROW(Tickets!$G$2)+1)/(Tickets!$G$2:$G$161=$E$3),ROWS($E$4:E155))),"")</f>
        <v/>
      </c>
      <c r="F155" s="2"/>
      <c r="G155" s="16" t="str">
        <f>IFERROR(INDEX(Tickets!$A$2:$A$161,_xlfn.AGGREGATE(15,6,(ROW(Tickets!$G$2:$G$161)-ROW(Tickets!$G$2)+1)/(Tickets!$G$2:$G$161=$G$3),ROWS($G$4:G155)))&amp;" - "&amp;INDEX(Tickets!$E$2:$E$161,_xlfn.AGGREGATE(15,6,(ROW(Tickets!$G$2:$G$161)-ROW(Tickets!$G$2)+1)/(Tickets!$G$2:$G$161=$G$3),ROWS($G$4:G155))),"")</f>
        <v/>
      </c>
      <c r="H155" s="2"/>
      <c r="I155" s="16" t="str">
        <f>IFERROR(INDEX(Tickets!$A$2:$A$161,_xlfn.AGGREGATE(15,6,(ROW(Tickets!$G$2:$G$161)-ROW(Tickets!$G$2)+1)/(Tickets!$G$2:$G$161=$I$3),ROWS($I$4:I155)))&amp;" - "&amp;INDEX(Tickets!$E$2:$E$161,_xlfn.AGGREGATE(15,6,(ROW(Tickets!$G$2:$G$161)-ROW(Tickets!$G$2)+1)/(Tickets!$G$2:$G$161=$I$3),ROWS($I$4:I155))),"")</f>
        <v/>
      </c>
      <c r="J155" s="2"/>
    </row>
    <row r="156" spans="1:10" ht="36" customHeight="1" x14ac:dyDescent="0.2">
      <c r="A156" s="16" t="str">
        <f>IFERROR(INDEX(Tickets!$A$2:$A$161,_xlfn.AGGREGATE(15,6,(ROW(Tickets!$G$2:$G$161)-ROW(Tickets!$G$2)+1)/(Tickets!$G$2:$G$161=$A$3),ROWS($A$4:A156)))&amp;" - "&amp;INDEX(Tickets!$E$2:$E$161,_xlfn.AGGREGATE(15,6,(ROW(Tickets!$G$2:$G$161)-ROW(Tickets!$G$2)+1)/(Tickets!$G$2:$G$161=$A$3),ROWS($A$4:A156))),"")</f>
        <v/>
      </c>
      <c r="B156" s="2"/>
      <c r="C156" s="16" t="str">
        <f>IFERROR(INDEX(Tickets!$A$2:$A$161,_xlfn.AGGREGATE(15,6,(ROW(Tickets!$G$2:$G$161)-ROW(Tickets!$G$2)+1)/(Tickets!$G$2:$G$161=$C$3),ROWS($C$4:C156)))&amp;" - "&amp;INDEX(Tickets!$E$2:$E$161,_xlfn.AGGREGATE(15,6,(ROW(Tickets!$G$2:$G$161)-ROW(Tickets!$G$2)+1)/(Tickets!$G$2:$G$161=$C$3),ROWS($C$4:C156))),"")</f>
        <v/>
      </c>
      <c r="D156" s="2"/>
      <c r="E156" s="16" t="str">
        <f>IFERROR(INDEX(Tickets!$A$2:$A$161,_xlfn.AGGREGATE(15,6,(ROW(Tickets!$G$2:$G$161)-ROW(Tickets!$G$2)+1)/(Tickets!$G$2:$G$161=$E$3),ROWS($E$4:E156)))&amp;" - "&amp;INDEX(Tickets!$E$2:$E$161,_xlfn.AGGREGATE(15,6,(ROW(Tickets!$G$2:$G$161)-ROW(Tickets!$G$2)+1)/(Tickets!$G$2:$G$161=$E$3),ROWS($E$4:E156))),"")</f>
        <v/>
      </c>
      <c r="F156" s="2"/>
      <c r="G156" s="16" t="str">
        <f>IFERROR(INDEX(Tickets!$A$2:$A$161,_xlfn.AGGREGATE(15,6,(ROW(Tickets!$G$2:$G$161)-ROW(Tickets!$G$2)+1)/(Tickets!$G$2:$G$161=$G$3),ROWS($G$4:G156)))&amp;" - "&amp;INDEX(Tickets!$E$2:$E$161,_xlfn.AGGREGATE(15,6,(ROW(Tickets!$G$2:$G$161)-ROW(Tickets!$G$2)+1)/(Tickets!$G$2:$G$161=$G$3),ROWS($G$4:G156))),"")</f>
        <v/>
      </c>
      <c r="H156" s="2"/>
      <c r="I156" s="16" t="str">
        <f>IFERROR(INDEX(Tickets!$A$2:$A$161,_xlfn.AGGREGATE(15,6,(ROW(Tickets!$G$2:$G$161)-ROW(Tickets!$G$2)+1)/(Tickets!$G$2:$G$161=$I$3),ROWS($I$4:I156)))&amp;" - "&amp;INDEX(Tickets!$E$2:$E$161,_xlfn.AGGREGATE(15,6,(ROW(Tickets!$G$2:$G$161)-ROW(Tickets!$G$2)+1)/(Tickets!$G$2:$G$161=$I$3),ROWS($I$4:I156))),"")</f>
        <v/>
      </c>
      <c r="J156" s="2"/>
    </row>
    <row r="157" spans="1:10" ht="36" customHeight="1" x14ac:dyDescent="0.2">
      <c r="A157" s="16" t="str">
        <f>IFERROR(INDEX(Tickets!$A$2:$A$161,_xlfn.AGGREGATE(15,6,(ROW(Tickets!$G$2:$G$161)-ROW(Tickets!$G$2)+1)/(Tickets!$G$2:$G$161=$A$3),ROWS($A$4:A157)))&amp;" - "&amp;INDEX(Tickets!$E$2:$E$161,_xlfn.AGGREGATE(15,6,(ROW(Tickets!$G$2:$G$161)-ROW(Tickets!$G$2)+1)/(Tickets!$G$2:$G$161=$A$3),ROWS($A$4:A157))),"")</f>
        <v/>
      </c>
      <c r="B157" s="2"/>
      <c r="C157" s="16" t="str">
        <f>IFERROR(INDEX(Tickets!$A$2:$A$161,_xlfn.AGGREGATE(15,6,(ROW(Tickets!$G$2:$G$161)-ROW(Tickets!$G$2)+1)/(Tickets!$G$2:$G$161=$C$3),ROWS($C$4:C157)))&amp;" - "&amp;INDEX(Tickets!$E$2:$E$161,_xlfn.AGGREGATE(15,6,(ROW(Tickets!$G$2:$G$161)-ROW(Tickets!$G$2)+1)/(Tickets!$G$2:$G$161=$C$3),ROWS($C$4:C157))),"")</f>
        <v/>
      </c>
      <c r="D157" s="2"/>
      <c r="E157" s="16" t="str">
        <f>IFERROR(INDEX(Tickets!$A$2:$A$161,_xlfn.AGGREGATE(15,6,(ROW(Tickets!$G$2:$G$161)-ROW(Tickets!$G$2)+1)/(Tickets!$G$2:$G$161=$E$3),ROWS($E$4:E157)))&amp;" - "&amp;INDEX(Tickets!$E$2:$E$161,_xlfn.AGGREGATE(15,6,(ROW(Tickets!$G$2:$G$161)-ROW(Tickets!$G$2)+1)/(Tickets!$G$2:$G$161=$E$3),ROWS($E$4:E157))),"")</f>
        <v/>
      </c>
      <c r="F157" s="2"/>
      <c r="G157" s="16" t="str">
        <f>IFERROR(INDEX(Tickets!$A$2:$A$161,_xlfn.AGGREGATE(15,6,(ROW(Tickets!$G$2:$G$161)-ROW(Tickets!$G$2)+1)/(Tickets!$G$2:$G$161=$G$3),ROWS($G$4:G157)))&amp;" - "&amp;INDEX(Tickets!$E$2:$E$161,_xlfn.AGGREGATE(15,6,(ROW(Tickets!$G$2:$G$161)-ROW(Tickets!$G$2)+1)/(Tickets!$G$2:$G$161=$G$3),ROWS($G$4:G157))),"")</f>
        <v/>
      </c>
      <c r="H157" s="2"/>
      <c r="I157" s="16" t="str">
        <f>IFERROR(INDEX(Tickets!$A$2:$A$161,_xlfn.AGGREGATE(15,6,(ROW(Tickets!$G$2:$G$161)-ROW(Tickets!$G$2)+1)/(Tickets!$G$2:$G$161=$I$3),ROWS($I$4:I157)))&amp;" - "&amp;INDEX(Tickets!$E$2:$E$161,_xlfn.AGGREGATE(15,6,(ROW(Tickets!$G$2:$G$161)-ROW(Tickets!$G$2)+1)/(Tickets!$G$2:$G$161=$I$3),ROWS($I$4:I157))),"")</f>
        <v/>
      </c>
      <c r="J157" s="2"/>
    </row>
    <row r="158" spans="1:10" ht="36" customHeight="1" x14ac:dyDescent="0.2">
      <c r="A158" s="16" t="str">
        <f>IFERROR(INDEX(Tickets!$A$2:$A$161,_xlfn.AGGREGATE(15,6,(ROW(Tickets!$G$2:$G$161)-ROW(Tickets!$G$2)+1)/(Tickets!$G$2:$G$161=$A$3),ROWS($A$4:A158)))&amp;" - "&amp;INDEX(Tickets!$E$2:$E$161,_xlfn.AGGREGATE(15,6,(ROW(Tickets!$G$2:$G$161)-ROW(Tickets!$G$2)+1)/(Tickets!$G$2:$G$161=$A$3),ROWS($A$4:A158))),"")</f>
        <v/>
      </c>
      <c r="B158" s="2"/>
      <c r="C158" s="16" t="str">
        <f>IFERROR(INDEX(Tickets!$A$2:$A$161,_xlfn.AGGREGATE(15,6,(ROW(Tickets!$G$2:$G$161)-ROW(Tickets!$G$2)+1)/(Tickets!$G$2:$G$161=$C$3),ROWS($C$4:C158)))&amp;" - "&amp;INDEX(Tickets!$E$2:$E$161,_xlfn.AGGREGATE(15,6,(ROW(Tickets!$G$2:$G$161)-ROW(Tickets!$G$2)+1)/(Tickets!$G$2:$G$161=$C$3),ROWS($C$4:C158))),"")</f>
        <v/>
      </c>
      <c r="D158" s="2"/>
      <c r="E158" s="16" t="str">
        <f>IFERROR(INDEX(Tickets!$A$2:$A$161,_xlfn.AGGREGATE(15,6,(ROW(Tickets!$G$2:$G$161)-ROW(Tickets!$G$2)+1)/(Tickets!$G$2:$G$161=$E$3),ROWS($E$4:E158)))&amp;" - "&amp;INDEX(Tickets!$E$2:$E$161,_xlfn.AGGREGATE(15,6,(ROW(Tickets!$G$2:$G$161)-ROW(Tickets!$G$2)+1)/(Tickets!$G$2:$G$161=$E$3),ROWS($E$4:E158))),"")</f>
        <v/>
      </c>
      <c r="F158" s="2"/>
      <c r="G158" s="16" t="str">
        <f>IFERROR(INDEX(Tickets!$A$2:$A$161,_xlfn.AGGREGATE(15,6,(ROW(Tickets!$G$2:$G$161)-ROW(Tickets!$G$2)+1)/(Tickets!$G$2:$G$161=$G$3),ROWS($G$4:G158)))&amp;" - "&amp;INDEX(Tickets!$E$2:$E$161,_xlfn.AGGREGATE(15,6,(ROW(Tickets!$G$2:$G$161)-ROW(Tickets!$G$2)+1)/(Tickets!$G$2:$G$161=$G$3),ROWS($G$4:G158))),"")</f>
        <v/>
      </c>
      <c r="H158" s="2"/>
      <c r="I158" s="16" t="str">
        <f>IFERROR(INDEX(Tickets!$A$2:$A$161,_xlfn.AGGREGATE(15,6,(ROW(Tickets!$G$2:$G$161)-ROW(Tickets!$G$2)+1)/(Tickets!$G$2:$G$161=$I$3),ROWS($I$4:I158)))&amp;" - "&amp;INDEX(Tickets!$E$2:$E$161,_xlfn.AGGREGATE(15,6,(ROW(Tickets!$G$2:$G$161)-ROW(Tickets!$G$2)+1)/(Tickets!$G$2:$G$161=$I$3),ROWS($I$4:I158))),"")</f>
        <v/>
      </c>
      <c r="J158" s="2"/>
    </row>
    <row r="159" spans="1:10" ht="36" customHeight="1" x14ac:dyDescent="0.2">
      <c r="A159" s="16" t="str">
        <f>IFERROR(INDEX(Tickets!$A$2:$A$161,_xlfn.AGGREGATE(15,6,(ROW(Tickets!$G$2:$G$161)-ROW(Tickets!$G$2)+1)/(Tickets!$G$2:$G$161=$A$3),ROWS($A$4:A159)))&amp;" - "&amp;INDEX(Tickets!$E$2:$E$161,_xlfn.AGGREGATE(15,6,(ROW(Tickets!$G$2:$G$161)-ROW(Tickets!$G$2)+1)/(Tickets!$G$2:$G$161=$A$3),ROWS($A$4:A159))),"")</f>
        <v/>
      </c>
      <c r="B159" s="2"/>
      <c r="C159" s="16" t="str">
        <f>IFERROR(INDEX(Tickets!$A$2:$A$161,_xlfn.AGGREGATE(15,6,(ROW(Tickets!$G$2:$G$161)-ROW(Tickets!$G$2)+1)/(Tickets!$G$2:$G$161=$C$3),ROWS($C$4:C159)))&amp;" - "&amp;INDEX(Tickets!$E$2:$E$161,_xlfn.AGGREGATE(15,6,(ROW(Tickets!$G$2:$G$161)-ROW(Tickets!$G$2)+1)/(Tickets!$G$2:$G$161=$C$3),ROWS($C$4:C159))),"")</f>
        <v/>
      </c>
      <c r="D159" s="2"/>
      <c r="E159" s="16" t="str">
        <f>IFERROR(INDEX(Tickets!$A$2:$A$161,_xlfn.AGGREGATE(15,6,(ROW(Tickets!$G$2:$G$161)-ROW(Tickets!$G$2)+1)/(Tickets!$G$2:$G$161=$E$3),ROWS($E$4:E159)))&amp;" - "&amp;INDEX(Tickets!$E$2:$E$161,_xlfn.AGGREGATE(15,6,(ROW(Tickets!$G$2:$G$161)-ROW(Tickets!$G$2)+1)/(Tickets!$G$2:$G$161=$E$3),ROWS($E$4:E159))),"")</f>
        <v/>
      </c>
      <c r="F159" s="2"/>
      <c r="G159" s="16" t="str">
        <f>IFERROR(INDEX(Tickets!$A$2:$A$161,_xlfn.AGGREGATE(15,6,(ROW(Tickets!$G$2:$G$161)-ROW(Tickets!$G$2)+1)/(Tickets!$G$2:$G$161=$G$3),ROWS($G$4:G159)))&amp;" - "&amp;INDEX(Tickets!$E$2:$E$161,_xlfn.AGGREGATE(15,6,(ROW(Tickets!$G$2:$G$161)-ROW(Tickets!$G$2)+1)/(Tickets!$G$2:$G$161=$G$3),ROWS($G$4:G159))),"")</f>
        <v/>
      </c>
      <c r="H159" s="2"/>
      <c r="I159" s="16" t="str">
        <f>IFERROR(INDEX(Tickets!$A$2:$A$161,_xlfn.AGGREGATE(15,6,(ROW(Tickets!$G$2:$G$161)-ROW(Tickets!$G$2)+1)/(Tickets!$G$2:$G$161=$I$3),ROWS($I$4:I159)))&amp;" - "&amp;INDEX(Tickets!$E$2:$E$161,_xlfn.AGGREGATE(15,6,(ROW(Tickets!$G$2:$G$161)-ROW(Tickets!$G$2)+1)/(Tickets!$G$2:$G$161=$I$3),ROWS($I$4:I159))),"")</f>
        <v/>
      </c>
      <c r="J159" s="2"/>
    </row>
    <row r="160" spans="1:10" ht="36" customHeight="1" x14ac:dyDescent="0.2">
      <c r="A160" s="16" t="str">
        <f>IFERROR(INDEX(Tickets!$A$2:$A$161,_xlfn.AGGREGATE(15,6,(ROW(Tickets!$G$2:$G$161)-ROW(Tickets!$G$2)+1)/(Tickets!$G$2:$G$161=$A$3),ROWS($A$4:A160)))&amp;" - "&amp;INDEX(Tickets!$E$2:$E$161,_xlfn.AGGREGATE(15,6,(ROW(Tickets!$G$2:$G$161)-ROW(Tickets!$G$2)+1)/(Tickets!$G$2:$G$161=$A$3),ROWS($A$4:A160))),"")</f>
        <v/>
      </c>
      <c r="B160" s="2"/>
      <c r="C160" s="16" t="str">
        <f>IFERROR(INDEX(Tickets!$A$2:$A$161,_xlfn.AGGREGATE(15,6,(ROW(Tickets!$G$2:$G$161)-ROW(Tickets!$G$2)+1)/(Tickets!$G$2:$G$161=$C$3),ROWS($C$4:C160)))&amp;" - "&amp;INDEX(Tickets!$E$2:$E$161,_xlfn.AGGREGATE(15,6,(ROW(Tickets!$G$2:$G$161)-ROW(Tickets!$G$2)+1)/(Tickets!$G$2:$G$161=$C$3),ROWS($C$4:C160))),"")</f>
        <v/>
      </c>
      <c r="D160" s="2"/>
      <c r="E160" s="16" t="str">
        <f>IFERROR(INDEX(Tickets!$A$2:$A$161,_xlfn.AGGREGATE(15,6,(ROW(Tickets!$G$2:$G$161)-ROW(Tickets!$G$2)+1)/(Tickets!$G$2:$G$161=$E$3),ROWS($E$4:E160)))&amp;" - "&amp;INDEX(Tickets!$E$2:$E$161,_xlfn.AGGREGATE(15,6,(ROW(Tickets!$G$2:$G$161)-ROW(Tickets!$G$2)+1)/(Tickets!$G$2:$G$161=$E$3),ROWS($E$4:E160))),"")</f>
        <v/>
      </c>
      <c r="F160" s="2"/>
      <c r="G160" s="16" t="str">
        <f>IFERROR(INDEX(Tickets!$A$2:$A$161,_xlfn.AGGREGATE(15,6,(ROW(Tickets!$G$2:$G$161)-ROW(Tickets!$G$2)+1)/(Tickets!$G$2:$G$161=$G$3),ROWS($G$4:G160)))&amp;" - "&amp;INDEX(Tickets!$E$2:$E$161,_xlfn.AGGREGATE(15,6,(ROW(Tickets!$G$2:$G$161)-ROW(Tickets!$G$2)+1)/(Tickets!$G$2:$G$161=$G$3),ROWS($G$4:G160))),"")</f>
        <v/>
      </c>
      <c r="H160" s="2"/>
      <c r="I160" s="16" t="str">
        <f>IFERROR(INDEX(Tickets!$A$2:$A$161,_xlfn.AGGREGATE(15,6,(ROW(Tickets!$G$2:$G$161)-ROW(Tickets!$G$2)+1)/(Tickets!$G$2:$G$161=$I$3),ROWS($I$4:I160)))&amp;" - "&amp;INDEX(Tickets!$E$2:$E$161,_xlfn.AGGREGATE(15,6,(ROW(Tickets!$G$2:$G$161)-ROW(Tickets!$G$2)+1)/(Tickets!$G$2:$G$161=$I$3),ROWS($I$4:I160))),"")</f>
        <v/>
      </c>
      <c r="J160" s="2"/>
    </row>
    <row r="161" spans="1:10" ht="36" customHeight="1" x14ac:dyDescent="0.2">
      <c r="A161" s="16" t="str">
        <f>IFERROR(INDEX(Tickets!$A$2:$A$161,_xlfn.AGGREGATE(15,6,(ROW(Tickets!$G$2:$G$161)-ROW(Tickets!$G$2)+1)/(Tickets!$G$2:$G$161=$A$3),ROWS($A$4:A161)))&amp;" - "&amp;INDEX(Tickets!$E$2:$E$161,_xlfn.AGGREGATE(15,6,(ROW(Tickets!$G$2:$G$161)-ROW(Tickets!$G$2)+1)/(Tickets!$G$2:$G$161=$A$3),ROWS($A$4:A161))),"")</f>
        <v/>
      </c>
      <c r="B161" s="2"/>
      <c r="C161" s="16" t="str">
        <f>IFERROR(INDEX(Tickets!$A$2:$A$161,_xlfn.AGGREGATE(15,6,(ROW(Tickets!$G$2:$G$161)-ROW(Tickets!$G$2)+1)/(Tickets!$G$2:$G$161=$C$3),ROWS($C$4:C161)))&amp;" - "&amp;INDEX(Tickets!$E$2:$E$161,_xlfn.AGGREGATE(15,6,(ROW(Tickets!$G$2:$G$161)-ROW(Tickets!$G$2)+1)/(Tickets!$G$2:$G$161=$C$3),ROWS($C$4:C161))),"")</f>
        <v/>
      </c>
      <c r="D161" s="2"/>
      <c r="E161" s="16" t="str">
        <f>IFERROR(INDEX(Tickets!$A$2:$A$161,_xlfn.AGGREGATE(15,6,(ROW(Tickets!$G$2:$G$161)-ROW(Tickets!$G$2)+1)/(Tickets!$G$2:$G$161=$E$3),ROWS($E$4:E161)))&amp;" - "&amp;INDEX(Tickets!$E$2:$E$161,_xlfn.AGGREGATE(15,6,(ROW(Tickets!$G$2:$G$161)-ROW(Tickets!$G$2)+1)/(Tickets!$G$2:$G$161=$E$3),ROWS($E$4:E161))),"")</f>
        <v/>
      </c>
      <c r="F161" s="2"/>
      <c r="G161" s="16" t="str">
        <f>IFERROR(INDEX(Tickets!$A$2:$A$161,_xlfn.AGGREGATE(15,6,(ROW(Tickets!$G$2:$G$161)-ROW(Tickets!$G$2)+1)/(Tickets!$G$2:$G$161=$G$3),ROWS($G$4:G161)))&amp;" - "&amp;INDEX(Tickets!$E$2:$E$161,_xlfn.AGGREGATE(15,6,(ROW(Tickets!$G$2:$G$161)-ROW(Tickets!$G$2)+1)/(Tickets!$G$2:$G$161=$G$3),ROWS($G$4:G161))),"")</f>
        <v/>
      </c>
      <c r="H161" s="2"/>
      <c r="I161" s="16" t="str">
        <f>IFERROR(INDEX(Tickets!$A$2:$A$161,_xlfn.AGGREGATE(15,6,(ROW(Tickets!$G$2:$G$161)-ROW(Tickets!$G$2)+1)/(Tickets!$G$2:$G$161=$I$3),ROWS($I$4:I161)))&amp;" - "&amp;INDEX(Tickets!$E$2:$E$161,_xlfn.AGGREGATE(15,6,(ROW(Tickets!$G$2:$G$161)-ROW(Tickets!$G$2)+1)/(Tickets!$G$2:$G$161=$I$3),ROWS($I$4:I161))),"")</f>
        <v/>
      </c>
      <c r="J161" s="2"/>
    </row>
    <row r="162" spans="1:10" ht="36" customHeight="1" x14ac:dyDescent="0.2">
      <c r="A162" s="16" t="str">
        <f>IFERROR(INDEX(Tickets!$A$2:$A$161,_xlfn.AGGREGATE(15,6,(ROW(Tickets!$G$2:$G$161)-ROW(Tickets!$G$2)+1)/(Tickets!$G$2:$G$161=$A$3),ROWS($A$4:A162)))&amp;" - "&amp;INDEX(Tickets!$E$2:$E$161,_xlfn.AGGREGATE(15,6,(ROW(Tickets!$G$2:$G$161)-ROW(Tickets!$G$2)+1)/(Tickets!$G$2:$G$161=$A$3),ROWS($A$4:A162))),"")</f>
        <v/>
      </c>
      <c r="B162" s="2"/>
      <c r="C162" s="16" t="str">
        <f>IFERROR(INDEX(Tickets!$A$2:$A$161,_xlfn.AGGREGATE(15,6,(ROW(Tickets!$G$2:$G$161)-ROW(Tickets!$G$2)+1)/(Tickets!$G$2:$G$161=$C$3),ROWS($C$4:C162)))&amp;" - "&amp;INDEX(Tickets!$E$2:$E$161,_xlfn.AGGREGATE(15,6,(ROW(Tickets!$G$2:$G$161)-ROW(Tickets!$G$2)+1)/(Tickets!$G$2:$G$161=$C$3),ROWS($C$4:C162))),"")</f>
        <v/>
      </c>
      <c r="D162" s="2"/>
      <c r="E162" s="16" t="str">
        <f>IFERROR(INDEX(Tickets!$A$2:$A$161,_xlfn.AGGREGATE(15,6,(ROW(Tickets!$G$2:$G$161)-ROW(Tickets!$G$2)+1)/(Tickets!$G$2:$G$161=$E$3),ROWS($E$4:E162)))&amp;" - "&amp;INDEX(Tickets!$E$2:$E$161,_xlfn.AGGREGATE(15,6,(ROW(Tickets!$G$2:$G$161)-ROW(Tickets!$G$2)+1)/(Tickets!$G$2:$G$161=$E$3),ROWS($E$4:E162))),"")</f>
        <v/>
      </c>
      <c r="F162" s="2"/>
      <c r="G162" s="16" t="str">
        <f>IFERROR(INDEX(Tickets!$A$2:$A$161,_xlfn.AGGREGATE(15,6,(ROW(Tickets!$G$2:$G$161)-ROW(Tickets!$G$2)+1)/(Tickets!$G$2:$G$161=$G$3),ROWS($G$4:G162)))&amp;" - "&amp;INDEX(Tickets!$E$2:$E$161,_xlfn.AGGREGATE(15,6,(ROW(Tickets!$G$2:$G$161)-ROW(Tickets!$G$2)+1)/(Tickets!$G$2:$G$161=$G$3),ROWS($G$4:G162))),"")</f>
        <v/>
      </c>
      <c r="H162" s="2"/>
      <c r="I162" s="16" t="str">
        <f>IFERROR(INDEX(Tickets!$A$2:$A$161,_xlfn.AGGREGATE(15,6,(ROW(Tickets!$G$2:$G$161)-ROW(Tickets!$G$2)+1)/(Tickets!$G$2:$G$161=$I$3),ROWS($I$4:I162)))&amp;" - "&amp;INDEX(Tickets!$E$2:$E$161,_xlfn.AGGREGATE(15,6,(ROW(Tickets!$G$2:$G$161)-ROW(Tickets!$G$2)+1)/(Tickets!$G$2:$G$161=$I$3),ROWS($I$4:I162))),"")</f>
        <v/>
      </c>
      <c r="J162" s="2"/>
    </row>
    <row r="163" spans="1:10" ht="36" customHeight="1" x14ac:dyDescent="0.2">
      <c r="A163" s="16" t="str">
        <f>IFERROR(INDEX(Tickets!$A$2:$A$161,_xlfn.AGGREGATE(15,6,(ROW(Tickets!$G$2:$G$161)-ROW(Tickets!$G$2)+1)/(Tickets!$G$2:$G$161=$A$3),ROWS($A$4:A163)))&amp;" - "&amp;INDEX(Tickets!$E$2:$E$161,_xlfn.AGGREGATE(15,6,(ROW(Tickets!$G$2:$G$161)-ROW(Tickets!$G$2)+1)/(Tickets!$G$2:$G$161=$A$3),ROWS($A$4:A163))),"")</f>
        <v/>
      </c>
      <c r="B163" s="2"/>
      <c r="C163" s="16" t="str">
        <f>IFERROR(INDEX(Tickets!$A$2:$A$161,_xlfn.AGGREGATE(15,6,(ROW(Tickets!$G$2:$G$161)-ROW(Tickets!$G$2)+1)/(Tickets!$G$2:$G$161=$C$3),ROWS($C$4:C163)))&amp;" - "&amp;INDEX(Tickets!$E$2:$E$161,_xlfn.AGGREGATE(15,6,(ROW(Tickets!$G$2:$G$161)-ROW(Tickets!$G$2)+1)/(Tickets!$G$2:$G$161=$C$3),ROWS($C$4:C163))),"")</f>
        <v/>
      </c>
      <c r="D163" s="2"/>
      <c r="E163" s="16" t="str">
        <f>IFERROR(INDEX(Tickets!$A$2:$A$161,_xlfn.AGGREGATE(15,6,(ROW(Tickets!$G$2:$G$161)-ROW(Tickets!$G$2)+1)/(Tickets!$G$2:$G$161=$E$3),ROWS($E$4:E163)))&amp;" - "&amp;INDEX(Tickets!$E$2:$E$161,_xlfn.AGGREGATE(15,6,(ROW(Tickets!$G$2:$G$161)-ROW(Tickets!$G$2)+1)/(Tickets!$G$2:$G$161=$E$3),ROWS($E$4:E163))),"")</f>
        <v/>
      </c>
      <c r="F163" s="2"/>
      <c r="G163" s="16" t="str">
        <f>IFERROR(INDEX(Tickets!$A$2:$A$161,_xlfn.AGGREGATE(15,6,(ROW(Tickets!$G$2:$G$161)-ROW(Tickets!$G$2)+1)/(Tickets!$G$2:$G$161=$G$3),ROWS($G$4:G163)))&amp;" - "&amp;INDEX(Tickets!$E$2:$E$161,_xlfn.AGGREGATE(15,6,(ROW(Tickets!$G$2:$G$161)-ROW(Tickets!$G$2)+1)/(Tickets!$G$2:$G$161=$G$3),ROWS($G$4:G163))),"")</f>
        <v/>
      </c>
      <c r="H163" s="2"/>
      <c r="I163" s="16" t="str">
        <f>IFERROR(INDEX(Tickets!$A$2:$A$161,_xlfn.AGGREGATE(15,6,(ROW(Tickets!$G$2:$G$161)-ROW(Tickets!$G$2)+1)/(Tickets!$G$2:$G$161=$I$3),ROWS($I$4:I163)))&amp;" - "&amp;INDEX(Tickets!$E$2:$E$161,_xlfn.AGGREGATE(15,6,(ROW(Tickets!$G$2:$G$161)-ROW(Tickets!$G$2)+1)/(Tickets!$G$2:$G$161=$I$3),ROWS($I$4:I163))),"")</f>
        <v/>
      </c>
      <c r="J163" s="2"/>
    </row>
    <row r="164" spans="1:10" ht="36" customHeight="1" x14ac:dyDescent="0.2">
      <c r="A164" s="16" t="str">
        <f>IFERROR(INDEX(Tickets!$A$2:$A$161,_xlfn.AGGREGATE(15,6,(ROW(Tickets!$G$2:$G$161)-ROW(Tickets!$G$2)+1)/(Tickets!$G$2:$G$161=$A$3),ROWS($A$4:A164)))&amp;" - "&amp;INDEX(Tickets!$E$2:$E$161,_xlfn.AGGREGATE(15,6,(ROW(Tickets!$G$2:$G$161)-ROW(Tickets!$G$2)+1)/(Tickets!$G$2:$G$161=$A$3),ROWS($A$4:A164))),"")</f>
        <v/>
      </c>
      <c r="B164" s="2"/>
      <c r="C164" s="16" t="str">
        <f>IFERROR(INDEX(Tickets!$A$2:$A$161,_xlfn.AGGREGATE(15,6,(ROW(Tickets!$G$2:$G$161)-ROW(Tickets!$G$2)+1)/(Tickets!$G$2:$G$161=$C$3),ROWS($C$4:C164)))&amp;" - "&amp;INDEX(Tickets!$E$2:$E$161,_xlfn.AGGREGATE(15,6,(ROW(Tickets!$G$2:$G$161)-ROW(Tickets!$G$2)+1)/(Tickets!$G$2:$G$161=$C$3),ROWS($C$4:C164))),"")</f>
        <v/>
      </c>
      <c r="D164" s="2"/>
      <c r="E164" s="16" t="str">
        <f>IFERROR(INDEX(Tickets!$A$2:$A$161,_xlfn.AGGREGATE(15,6,(ROW(Tickets!$G$2:$G$161)-ROW(Tickets!$G$2)+1)/(Tickets!$G$2:$G$161=$E$3),ROWS($E$4:E164)))&amp;" - "&amp;INDEX(Tickets!$E$2:$E$161,_xlfn.AGGREGATE(15,6,(ROW(Tickets!$G$2:$G$161)-ROW(Tickets!$G$2)+1)/(Tickets!$G$2:$G$161=$E$3),ROWS($E$4:E164))),"")</f>
        <v/>
      </c>
      <c r="F164" s="2"/>
      <c r="G164" s="16" t="str">
        <f>IFERROR(INDEX(Tickets!$A$2:$A$161,_xlfn.AGGREGATE(15,6,(ROW(Tickets!$G$2:$G$161)-ROW(Tickets!$G$2)+1)/(Tickets!$G$2:$G$161=$G$3),ROWS($G$4:G164)))&amp;" - "&amp;INDEX(Tickets!$E$2:$E$161,_xlfn.AGGREGATE(15,6,(ROW(Tickets!$G$2:$G$161)-ROW(Tickets!$G$2)+1)/(Tickets!$G$2:$G$161=$G$3),ROWS($G$4:G164))),"")</f>
        <v/>
      </c>
      <c r="H164" s="2"/>
      <c r="I164" s="16" t="str">
        <f>IFERROR(INDEX(Tickets!$A$2:$A$161,_xlfn.AGGREGATE(15,6,(ROW(Tickets!$G$2:$G$161)-ROW(Tickets!$G$2)+1)/(Tickets!$G$2:$G$161=$I$3),ROWS($I$4:I164)))&amp;" - "&amp;INDEX(Tickets!$E$2:$E$161,_xlfn.AGGREGATE(15,6,(ROW(Tickets!$G$2:$G$161)-ROW(Tickets!$G$2)+1)/(Tickets!$G$2:$G$161=$I$3),ROWS($I$4:I164))),"")</f>
        <v/>
      </c>
      <c r="J164" s="2"/>
    </row>
    <row r="165" spans="1:10" ht="36" customHeight="1" x14ac:dyDescent="0.2">
      <c r="A165" s="16" t="str">
        <f>IFERROR(INDEX(Tickets!$A$2:$A$161,_xlfn.AGGREGATE(15,6,(ROW(Tickets!$G$2:$G$161)-ROW(Tickets!$G$2)+1)/(Tickets!$G$2:$G$161=$A$3),ROWS($A$4:A165)))&amp;" - "&amp;INDEX(Tickets!$E$2:$E$161,_xlfn.AGGREGATE(15,6,(ROW(Tickets!$G$2:$G$161)-ROW(Tickets!$G$2)+1)/(Tickets!$G$2:$G$161=$A$3),ROWS($A$4:A165))),"")</f>
        <v/>
      </c>
      <c r="B165" s="2"/>
      <c r="C165" s="16" t="str">
        <f>IFERROR(INDEX(Tickets!$A$2:$A$161,_xlfn.AGGREGATE(15,6,(ROW(Tickets!$G$2:$G$161)-ROW(Tickets!$G$2)+1)/(Tickets!$G$2:$G$161=$C$3),ROWS($C$4:C165)))&amp;" - "&amp;INDEX(Tickets!$E$2:$E$161,_xlfn.AGGREGATE(15,6,(ROW(Tickets!$G$2:$G$161)-ROW(Tickets!$G$2)+1)/(Tickets!$G$2:$G$161=$C$3),ROWS($C$4:C165))),"")</f>
        <v/>
      </c>
      <c r="D165" s="2"/>
      <c r="E165" s="16" t="str">
        <f>IFERROR(INDEX(Tickets!$A$2:$A$161,_xlfn.AGGREGATE(15,6,(ROW(Tickets!$G$2:$G$161)-ROW(Tickets!$G$2)+1)/(Tickets!$G$2:$G$161=$E$3),ROWS($E$4:E165)))&amp;" - "&amp;INDEX(Tickets!$E$2:$E$161,_xlfn.AGGREGATE(15,6,(ROW(Tickets!$G$2:$G$161)-ROW(Tickets!$G$2)+1)/(Tickets!$G$2:$G$161=$E$3),ROWS($E$4:E165))),"")</f>
        <v/>
      </c>
      <c r="F165" s="2"/>
      <c r="G165" s="16" t="str">
        <f>IFERROR(INDEX(Tickets!$A$2:$A$161,_xlfn.AGGREGATE(15,6,(ROW(Tickets!$G$2:$G$161)-ROW(Tickets!$G$2)+1)/(Tickets!$G$2:$G$161=$G$3),ROWS($G$4:G165)))&amp;" - "&amp;INDEX(Tickets!$E$2:$E$161,_xlfn.AGGREGATE(15,6,(ROW(Tickets!$G$2:$G$161)-ROW(Tickets!$G$2)+1)/(Tickets!$G$2:$G$161=$G$3),ROWS($G$4:G165))),"")</f>
        <v/>
      </c>
      <c r="H165" s="2"/>
      <c r="I165" s="16" t="str">
        <f>IFERROR(INDEX(Tickets!$A$2:$A$161,_xlfn.AGGREGATE(15,6,(ROW(Tickets!$G$2:$G$161)-ROW(Tickets!$G$2)+1)/(Tickets!$G$2:$G$161=$I$3),ROWS($I$4:I165)))&amp;" - "&amp;INDEX(Tickets!$E$2:$E$161,_xlfn.AGGREGATE(15,6,(ROW(Tickets!$G$2:$G$161)-ROW(Tickets!$G$2)+1)/(Tickets!$G$2:$G$161=$I$3),ROWS($I$4:I165))),"")</f>
        <v/>
      </c>
      <c r="J165" s="2"/>
    </row>
    <row r="166" spans="1:10" ht="36" customHeight="1" x14ac:dyDescent="0.2">
      <c r="A166" s="16" t="str">
        <f>IFERROR(INDEX(Tickets!$A$2:$A$161,_xlfn.AGGREGATE(15,6,(ROW(Tickets!$G$2:$G$161)-ROW(Tickets!$G$2)+1)/(Tickets!$G$2:$G$161=$A$3),ROWS($A$4:A166)))&amp;" - "&amp;INDEX(Tickets!$E$2:$E$161,_xlfn.AGGREGATE(15,6,(ROW(Tickets!$G$2:$G$161)-ROW(Tickets!$G$2)+1)/(Tickets!$G$2:$G$161=$A$3),ROWS($A$4:A166))),"")</f>
        <v/>
      </c>
      <c r="B166" s="2"/>
      <c r="C166" s="16" t="str">
        <f>IFERROR(INDEX(Tickets!$A$2:$A$161,_xlfn.AGGREGATE(15,6,(ROW(Tickets!$G$2:$G$161)-ROW(Tickets!$G$2)+1)/(Tickets!$G$2:$G$161=$C$3),ROWS($C$4:C166)))&amp;" - "&amp;INDEX(Tickets!$E$2:$E$161,_xlfn.AGGREGATE(15,6,(ROW(Tickets!$G$2:$G$161)-ROW(Tickets!$G$2)+1)/(Tickets!$G$2:$G$161=$C$3),ROWS($C$4:C166))),"")</f>
        <v/>
      </c>
      <c r="D166" s="2"/>
      <c r="E166" s="16" t="str">
        <f>IFERROR(INDEX(Tickets!$A$2:$A$161,_xlfn.AGGREGATE(15,6,(ROW(Tickets!$G$2:$G$161)-ROW(Tickets!$G$2)+1)/(Tickets!$G$2:$G$161=$E$3),ROWS($E$4:E166)))&amp;" - "&amp;INDEX(Tickets!$E$2:$E$161,_xlfn.AGGREGATE(15,6,(ROW(Tickets!$G$2:$G$161)-ROW(Tickets!$G$2)+1)/(Tickets!$G$2:$G$161=$E$3),ROWS($E$4:E166))),"")</f>
        <v/>
      </c>
      <c r="F166" s="2"/>
      <c r="G166" s="16" t="str">
        <f>IFERROR(INDEX(Tickets!$A$2:$A$161,_xlfn.AGGREGATE(15,6,(ROW(Tickets!$G$2:$G$161)-ROW(Tickets!$G$2)+1)/(Tickets!$G$2:$G$161=$G$3),ROWS($G$4:G166)))&amp;" - "&amp;INDEX(Tickets!$E$2:$E$161,_xlfn.AGGREGATE(15,6,(ROW(Tickets!$G$2:$G$161)-ROW(Tickets!$G$2)+1)/(Tickets!$G$2:$G$161=$G$3),ROWS($G$4:G166))),"")</f>
        <v/>
      </c>
      <c r="H166" s="2"/>
      <c r="I166" s="16" t="str">
        <f>IFERROR(INDEX(Tickets!$A$2:$A$161,_xlfn.AGGREGATE(15,6,(ROW(Tickets!$G$2:$G$161)-ROW(Tickets!$G$2)+1)/(Tickets!$G$2:$G$161=$I$3),ROWS($I$4:I166)))&amp;" - "&amp;INDEX(Tickets!$E$2:$E$161,_xlfn.AGGREGATE(15,6,(ROW(Tickets!$G$2:$G$161)-ROW(Tickets!$G$2)+1)/(Tickets!$G$2:$G$161=$I$3),ROWS($I$4:I166))),"")</f>
        <v/>
      </c>
      <c r="J166" s="2"/>
    </row>
    <row r="167" spans="1:10" ht="36" customHeight="1" x14ac:dyDescent="0.2">
      <c r="A167" s="16" t="str">
        <f>IFERROR(INDEX(Tickets!$A$2:$A$161,_xlfn.AGGREGATE(15,6,(ROW(Tickets!$G$2:$G$161)-ROW(Tickets!$G$2)+1)/(Tickets!$G$2:$G$161=$A$3),ROWS($A$4:A167)))&amp;" - "&amp;INDEX(Tickets!$E$2:$E$161,_xlfn.AGGREGATE(15,6,(ROW(Tickets!$G$2:$G$161)-ROW(Tickets!$G$2)+1)/(Tickets!$G$2:$G$161=$A$3),ROWS($A$4:A167))),"")</f>
        <v/>
      </c>
      <c r="B167" s="2"/>
      <c r="C167" s="16" t="str">
        <f>IFERROR(INDEX(Tickets!$A$2:$A$161,_xlfn.AGGREGATE(15,6,(ROW(Tickets!$G$2:$G$161)-ROW(Tickets!$G$2)+1)/(Tickets!$G$2:$G$161=$C$3),ROWS($C$4:C167)))&amp;" - "&amp;INDEX(Tickets!$E$2:$E$161,_xlfn.AGGREGATE(15,6,(ROW(Tickets!$G$2:$G$161)-ROW(Tickets!$G$2)+1)/(Tickets!$G$2:$G$161=$C$3),ROWS($C$4:C167))),"")</f>
        <v/>
      </c>
      <c r="D167" s="2"/>
      <c r="E167" s="16" t="str">
        <f>IFERROR(INDEX(Tickets!$A$2:$A$161,_xlfn.AGGREGATE(15,6,(ROW(Tickets!$G$2:$G$161)-ROW(Tickets!$G$2)+1)/(Tickets!$G$2:$G$161=$E$3),ROWS($E$4:E167)))&amp;" - "&amp;INDEX(Tickets!$E$2:$E$161,_xlfn.AGGREGATE(15,6,(ROW(Tickets!$G$2:$G$161)-ROW(Tickets!$G$2)+1)/(Tickets!$G$2:$G$161=$E$3),ROWS($E$4:E167))),"")</f>
        <v/>
      </c>
      <c r="F167" s="2"/>
      <c r="G167" s="16" t="str">
        <f>IFERROR(INDEX(Tickets!$A$2:$A$161,_xlfn.AGGREGATE(15,6,(ROW(Tickets!$G$2:$G$161)-ROW(Tickets!$G$2)+1)/(Tickets!$G$2:$G$161=$G$3),ROWS($G$4:G167)))&amp;" - "&amp;INDEX(Tickets!$E$2:$E$161,_xlfn.AGGREGATE(15,6,(ROW(Tickets!$G$2:$G$161)-ROW(Tickets!$G$2)+1)/(Tickets!$G$2:$G$161=$G$3),ROWS($G$4:G167))),"")</f>
        <v/>
      </c>
      <c r="H167" s="2"/>
      <c r="I167" s="16" t="str">
        <f>IFERROR(INDEX(Tickets!$A$2:$A$161,_xlfn.AGGREGATE(15,6,(ROW(Tickets!$G$2:$G$161)-ROW(Tickets!$G$2)+1)/(Tickets!$G$2:$G$161=$I$3),ROWS($I$4:I167)))&amp;" - "&amp;INDEX(Tickets!$E$2:$E$161,_xlfn.AGGREGATE(15,6,(ROW(Tickets!$G$2:$G$161)-ROW(Tickets!$G$2)+1)/(Tickets!$G$2:$G$161=$I$3),ROWS($I$4:I167))),"")</f>
        <v/>
      </c>
      <c r="J167" s="2"/>
    </row>
    <row r="168" spans="1:10" ht="36" customHeight="1" x14ac:dyDescent="0.2">
      <c r="A168" s="16" t="str">
        <f>IFERROR(INDEX(Tickets!$A$2:$A$161,_xlfn.AGGREGATE(15,6,(ROW(Tickets!$G$2:$G$161)-ROW(Tickets!$G$2)+1)/(Tickets!$G$2:$G$161=$A$3),ROWS($A$4:A168)))&amp;" - "&amp;INDEX(Tickets!$E$2:$E$161,_xlfn.AGGREGATE(15,6,(ROW(Tickets!$G$2:$G$161)-ROW(Tickets!$G$2)+1)/(Tickets!$G$2:$G$161=$A$3),ROWS($A$4:A168))),"")</f>
        <v/>
      </c>
      <c r="B168" s="2"/>
      <c r="C168" s="16" t="str">
        <f>IFERROR(INDEX(Tickets!$A$2:$A$161,_xlfn.AGGREGATE(15,6,(ROW(Tickets!$G$2:$G$161)-ROW(Tickets!$G$2)+1)/(Tickets!$G$2:$G$161=$C$3),ROWS($C$4:C168)))&amp;" - "&amp;INDEX(Tickets!$E$2:$E$161,_xlfn.AGGREGATE(15,6,(ROW(Tickets!$G$2:$G$161)-ROW(Tickets!$G$2)+1)/(Tickets!$G$2:$G$161=$C$3),ROWS($C$4:C168))),"")</f>
        <v/>
      </c>
      <c r="D168" s="2"/>
      <c r="E168" s="16" t="str">
        <f>IFERROR(INDEX(Tickets!$A$2:$A$161,_xlfn.AGGREGATE(15,6,(ROW(Tickets!$G$2:$G$161)-ROW(Tickets!$G$2)+1)/(Tickets!$G$2:$G$161=$E$3),ROWS($E$4:E168)))&amp;" - "&amp;INDEX(Tickets!$E$2:$E$161,_xlfn.AGGREGATE(15,6,(ROW(Tickets!$G$2:$G$161)-ROW(Tickets!$G$2)+1)/(Tickets!$G$2:$G$161=$E$3),ROWS($E$4:E168))),"")</f>
        <v/>
      </c>
      <c r="F168" s="2"/>
      <c r="G168" s="16" t="str">
        <f>IFERROR(INDEX(Tickets!$A$2:$A$161,_xlfn.AGGREGATE(15,6,(ROW(Tickets!$G$2:$G$161)-ROW(Tickets!$G$2)+1)/(Tickets!$G$2:$G$161=$G$3),ROWS($G$4:G168)))&amp;" - "&amp;INDEX(Tickets!$E$2:$E$161,_xlfn.AGGREGATE(15,6,(ROW(Tickets!$G$2:$G$161)-ROW(Tickets!$G$2)+1)/(Tickets!$G$2:$G$161=$G$3),ROWS($G$4:G168))),"")</f>
        <v/>
      </c>
      <c r="H168" s="2"/>
      <c r="I168" s="16" t="str">
        <f>IFERROR(INDEX(Tickets!$A$2:$A$161,_xlfn.AGGREGATE(15,6,(ROW(Tickets!$G$2:$G$161)-ROW(Tickets!$G$2)+1)/(Tickets!$G$2:$G$161=$I$3),ROWS($I$4:I168)))&amp;" - "&amp;INDEX(Tickets!$E$2:$E$161,_xlfn.AGGREGATE(15,6,(ROW(Tickets!$G$2:$G$161)-ROW(Tickets!$G$2)+1)/(Tickets!$G$2:$G$161=$I$3),ROWS($I$4:I168))),"")</f>
        <v/>
      </c>
      <c r="J168" s="2"/>
    </row>
  </sheetData>
  <mergeCells count="6">
    <mergeCell ref="A1:J1"/>
    <mergeCell ref="A3:B3"/>
    <mergeCell ref="C3:D3"/>
    <mergeCell ref="E3:F3"/>
    <mergeCell ref="G3:H3"/>
    <mergeCell ref="I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A2A5"/>
  </sheetPr>
  <dimension ref="A1:I12"/>
  <sheetViews>
    <sheetView showGridLines="0" zoomScaleNormal="100" workbookViewId="0">
      <pane ySplit="3" topLeftCell="A4" activePane="bottomLeft" state="frozen"/>
      <selection pane="bottomLeft" sqref="A1:I1"/>
    </sheetView>
  </sheetViews>
  <sheetFormatPr baseColWidth="10" defaultColWidth="8.6640625" defaultRowHeight="15" x14ac:dyDescent="0.2"/>
  <cols>
    <col min="1" max="9" width="16" customWidth="1"/>
  </cols>
  <sheetData>
    <row r="1" spans="1:9" ht="30" customHeight="1" x14ac:dyDescent="0.2">
      <c r="A1" s="21" t="s">
        <v>479</v>
      </c>
      <c r="B1" s="21"/>
      <c r="C1" s="21"/>
      <c r="D1" s="21"/>
      <c r="E1" s="21"/>
      <c r="F1" s="21"/>
      <c r="G1" s="21"/>
      <c r="H1" s="21"/>
      <c r="I1" s="21"/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  <row r="3" spans="1:9" ht="30" x14ac:dyDescent="0.2">
      <c r="A3" s="1" t="s">
        <v>480</v>
      </c>
      <c r="B3" s="1" t="s">
        <v>22</v>
      </c>
      <c r="C3" s="1" t="s">
        <v>21</v>
      </c>
      <c r="D3" s="1" t="s">
        <v>24</v>
      </c>
      <c r="E3" s="1" t="s">
        <v>14</v>
      </c>
      <c r="F3" s="1" t="s">
        <v>15</v>
      </c>
      <c r="G3" s="1" t="s">
        <v>16</v>
      </c>
      <c r="H3" s="1" t="s">
        <v>10</v>
      </c>
      <c r="I3" s="1" t="s">
        <v>11</v>
      </c>
    </row>
    <row r="4" spans="1:9" x14ac:dyDescent="0.2">
      <c r="A4" s="2" t="str" cm="1">
        <f t="array" ref="A4">IFERROR(INDEX(tblTeam[Name],_xlfn.AGGREGATE(15,6,(ROW(tblTeam[Name])-MIN(ROW(tblTeam[Name]))+1)/(tblTeam[Active]="Yes"),ROWS($A$4:A4))),"")</f>
        <v>Pragna</v>
      </c>
      <c r="B4" s="2">
        <f>COUNTIFS(tblTickets[Assignee],A4,tblTickets[Status],"&lt;&gt;Done")</f>
        <v>13</v>
      </c>
      <c r="C4" s="2">
        <f>COUNTIF(tblTickets[Assignee],A4)</f>
        <v>18</v>
      </c>
      <c r="D4" s="2">
        <f>SUMIF(tblTickets[Assignee],A4,tblTickets[Story Points])</f>
        <v>71</v>
      </c>
      <c r="E4" s="2">
        <f>SUMIFS(tblTickets[Story Points],tblTickets[Assignee],A4,tblTickets[Status],"Done")</f>
        <v>18</v>
      </c>
      <c r="F4" s="2">
        <f t="shared" ref="F4:F12" si="0">D4-E4</f>
        <v>53</v>
      </c>
      <c r="G4" s="13">
        <f t="shared" ref="G4:G12" si="1">IFERROR(E4/D4,0)</f>
        <v>0.25352112676056338</v>
      </c>
      <c r="H4" s="2">
        <f>COUNTIFS(tblTickets[Assignee],A4,tblTickets[Status],"In Progress")</f>
        <v>5</v>
      </c>
      <c r="I4" s="2">
        <f>COUNTIFS(tblTickets[Assignee],A4,tblTickets[Status],"Testing")</f>
        <v>0</v>
      </c>
    </row>
    <row r="5" spans="1:9" x14ac:dyDescent="0.2">
      <c r="A5" s="2" t="str" cm="1">
        <f t="array" ref="A5">IFERROR(INDEX(tblTeam[Name],_xlfn.AGGREGATE(15,6,(ROW(tblTeam[Name])-MIN(ROW(tblTeam[Name]))+1)/(tblTeam[Active]="Yes"),ROWS($A$4:A5))),"")</f>
        <v>Vasavi</v>
      </c>
      <c r="B5" s="2">
        <f>COUNTIFS(tblTickets[Assignee],A5,tblTickets[Status],"&lt;&gt;Done")</f>
        <v>0</v>
      </c>
      <c r="C5" s="2">
        <f>COUNTIF(tblTickets[Assignee],A5)</f>
        <v>0</v>
      </c>
      <c r="D5" s="2">
        <f>SUMIF(tblTickets[Assignee],A5,tblTickets[Story Points])</f>
        <v>0</v>
      </c>
      <c r="E5" s="2">
        <f>SUMIFS(tblTickets[Story Points],tblTickets[Assignee],A5,tblTickets[Status],"Done")</f>
        <v>0</v>
      </c>
      <c r="F5" s="2">
        <f t="shared" si="0"/>
        <v>0</v>
      </c>
      <c r="G5" s="13">
        <f t="shared" si="1"/>
        <v>0</v>
      </c>
      <c r="H5" s="2">
        <f>COUNTIFS(tblTickets[Assignee],A5,tblTickets[Status],"In Progress")</f>
        <v>0</v>
      </c>
      <c r="I5" s="2">
        <f>COUNTIFS(tblTickets[Assignee],A5,tblTickets[Status],"Testing")</f>
        <v>0</v>
      </c>
    </row>
    <row r="6" spans="1:9" x14ac:dyDescent="0.2">
      <c r="A6" s="2" t="str" cm="1">
        <f t="array" ref="A6">IFERROR(INDEX(tblTeam[Name],_xlfn.AGGREGATE(15,6,(ROW(tblTeam[Name])-MIN(ROW(tblTeam[Name]))+1)/(tblTeam[Active]="Yes"),ROWS($A$4:A6))),"")</f>
        <v>Niharika</v>
      </c>
      <c r="B6" s="2">
        <f>COUNTIFS(tblTickets[Assignee],A6,tblTickets[Status],"&lt;&gt;Done")</f>
        <v>0</v>
      </c>
      <c r="C6" s="2">
        <f>COUNTIF(tblTickets[Assignee],A6)</f>
        <v>0</v>
      </c>
      <c r="D6" s="2">
        <f>SUMIF(tblTickets[Assignee],A6,tblTickets[Story Points])</f>
        <v>0</v>
      </c>
      <c r="E6" s="2">
        <f>SUMIFS(tblTickets[Story Points],tblTickets[Assignee],A6,tblTickets[Status],"Done")</f>
        <v>0</v>
      </c>
      <c r="F6" s="2">
        <f t="shared" si="0"/>
        <v>0</v>
      </c>
      <c r="G6" s="13">
        <f t="shared" si="1"/>
        <v>0</v>
      </c>
      <c r="H6" s="2">
        <f>COUNTIFS(tblTickets[Assignee],A6,tblTickets[Status],"In Progress")</f>
        <v>0</v>
      </c>
      <c r="I6" s="2">
        <f>COUNTIFS(tblTickets[Assignee],A6,tblTickets[Status],"Testing")</f>
        <v>0</v>
      </c>
    </row>
    <row r="7" spans="1:9" x14ac:dyDescent="0.2">
      <c r="A7" s="2" t="str" cm="1">
        <f t="array" ref="A7">IFERROR(INDEX(tblTeam[Name],_xlfn.AGGREGATE(15,6,(ROW(tblTeam[Name])-MIN(ROW(tblTeam[Name]))+1)/(tblTeam[Active]="Yes"),ROWS($A$4:A7))),"")</f>
        <v>Arun</v>
      </c>
      <c r="B7" s="2">
        <f>COUNTIFS(tblTickets[Assignee],A7,tblTickets[Status],"&lt;&gt;Done")</f>
        <v>0</v>
      </c>
      <c r="C7" s="2">
        <f>COUNTIF(tblTickets[Assignee],A7)</f>
        <v>0</v>
      </c>
      <c r="D7" s="2">
        <f>SUMIF(tblTickets[Assignee],A7,tblTickets[Story Points])</f>
        <v>0</v>
      </c>
      <c r="E7" s="2">
        <f>SUMIFS(tblTickets[Story Points],tblTickets[Assignee],A7,tblTickets[Status],"Done")</f>
        <v>0</v>
      </c>
      <c r="F7" s="2">
        <f t="shared" si="0"/>
        <v>0</v>
      </c>
      <c r="G7" s="13">
        <f t="shared" si="1"/>
        <v>0</v>
      </c>
      <c r="H7" s="2">
        <f>COUNTIFS(tblTickets[Assignee],A7,tblTickets[Status],"In Progress")</f>
        <v>0</v>
      </c>
      <c r="I7" s="2">
        <f>COUNTIFS(tblTickets[Assignee],A7,tblTickets[Status],"Testing")</f>
        <v>0</v>
      </c>
    </row>
    <row r="8" spans="1:9" x14ac:dyDescent="0.2">
      <c r="A8" s="2" t="str" cm="1">
        <f t="array" ref="A8">IFERROR(INDEX(tblTeam[Name],_xlfn.AGGREGATE(15,6,(ROW(tblTeam[Name])-MIN(ROW(tblTeam[Name]))+1)/(tblTeam[Active]="Yes"),ROWS($A$4:A8))),"")</f>
        <v>Giridhar</v>
      </c>
      <c r="B8" s="2">
        <f>COUNTIFS(tblTickets[Assignee],A8,tblTickets[Status],"&lt;&gt;Done")</f>
        <v>1</v>
      </c>
      <c r="C8" s="2">
        <f>COUNTIF(tblTickets[Assignee],A8)</f>
        <v>1</v>
      </c>
      <c r="D8" s="2">
        <f>SUMIF(tblTickets[Assignee],A8,tblTickets[Story Points])</f>
        <v>5</v>
      </c>
      <c r="E8" s="2">
        <f>SUMIFS(tblTickets[Story Points],tblTickets[Assignee],A8,tblTickets[Status],"Done")</f>
        <v>0</v>
      </c>
      <c r="F8" s="2">
        <f t="shared" si="0"/>
        <v>5</v>
      </c>
      <c r="G8" s="13">
        <f t="shared" si="1"/>
        <v>0</v>
      </c>
      <c r="H8" s="2">
        <f>COUNTIFS(tblTickets[Assignee],A8,tblTickets[Status],"In Progress")</f>
        <v>0</v>
      </c>
      <c r="I8" s="2">
        <f>COUNTIFS(tblTickets[Assignee],A8,tblTickets[Status],"Testing")</f>
        <v>0</v>
      </c>
    </row>
    <row r="9" spans="1:9" x14ac:dyDescent="0.2">
      <c r="A9" s="2" t="str" cm="1">
        <f t="array" ref="A9">IFERROR(INDEX(tblTeam[Name],_xlfn.AGGREGATE(15,6,(ROW(tblTeam[Name])-MIN(ROW(tblTeam[Name]))+1)/(tblTeam[Active]="Yes"),ROWS($A$4:A9))),"")</f>
        <v>Mahesh</v>
      </c>
      <c r="B9" s="2">
        <f>COUNTIFS(tblTickets[Assignee],A9,tblTickets[Status],"&lt;&gt;Done")</f>
        <v>0</v>
      </c>
      <c r="C9" s="2">
        <f>COUNTIF(tblTickets[Assignee],A9)</f>
        <v>0</v>
      </c>
      <c r="D9" s="2">
        <f>SUMIF(tblTickets[Assignee],A9,tblTickets[Story Points])</f>
        <v>0</v>
      </c>
      <c r="E9" s="2">
        <f>SUMIFS(tblTickets[Story Points],tblTickets[Assignee],A9,tblTickets[Status],"Done")</f>
        <v>0</v>
      </c>
      <c r="F9" s="2">
        <f t="shared" si="0"/>
        <v>0</v>
      </c>
      <c r="G9" s="13">
        <f t="shared" si="1"/>
        <v>0</v>
      </c>
      <c r="H9" s="2">
        <f>COUNTIFS(tblTickets[Assignee],A9,tblTickets[Status],"In Progress")</f>
        <v>0</v>
      </c>
      <c r="I9" s="2">
        <f>COUNTIFS(tblTickets[Assignee],A9,tblTickets[Status],"Testing")</f>
        <v>0</v>
      </c>
    </row>
    <row r="10" spans="1:9" x14ac:dyDescent="0.2">
      <c r="A10" s="2" t="str" cm="1">
        <f t="array" ref="A10">IFERROR(INDEX(tblTeam[Name],_xlfn.AGGREGATE(15,6,(ROW(tblTeam[Name])-MIN(ROW(tblTeam[Name]))+1)/(tblTeam[Active]="Yes"),ROWS($A$4:A10))),"")</f>
        <v>Jhansi</v>
      </c>
      <c r="B10" s="2">
        <f>COUNTIFS(tblTickets[Assignee],A10,tblTickets[Status],"&lt;&gt;Done")</f>
        <v>5</v>
      </c>
      <c r="C10" s="2">
        <f>COUNTIF(tblTickets[Assignee],A10)</f>
        <v>5</v>
      </c>
      <c r="D10" s="2">
        <f>SUMIF(tblTickets[Assignee],A10,tblTickets[Story Points])</f>
        <v>26</v>
      </c>
      <c r="E10" s="2">
        <f>SUMIFS(tblTickets[Story Points],tblTickets[Assignee],A10,tblTickets[Status],"Done")</f>
        <v>0</v>
      </c>
      <c r="F10" s="2">
        <f t="shared" si="0"/>
        <v>26</v>
      </c>
      <c r="G10" s="13">
        <f t="shared" si="1"/>
        <v>0</v>
      </c>
      <c r="H10" s="2">
        <f>COUNTIFS(tblTickets[Assignee],A10,tblTickets[Status],"In Progress")</f>
        <v>0</v>
      </c>
      <c r="I10" s="2">
        <f>COUNTIFS(tblTickets[Assignee],A10,tblTickets[Status],"Testing")</f>
        <v>0</v>
      </c>
    </row>
    <row r="11" spans="1:9" x14ac:dyDescent="0.2">
      <c r="A11" s="2" t="str" cm="1">
        <f t="array" ref="A11">IFERROR(INDEX(tblTeam[Name],_xlfn.AGGREGATE(15,6,(ROW(tblTeam[Name])-MIN(ROW(tblTeam[Name]))+1)/(tblTeam[Active]="Yes"),ROWS($A$4:A11))),"")</f>
        <v>Geethanjali</v>
      </c>
      <c r="B11" s="2">
        <f>COUNTIFS(tblTickets[Assignee],A11,tblTickets[Status],"&lt;&gt;Done")</f>
        <v>0</v>
      </c>
      <c r="C11" s="2">
        <f>COUNTIF(tblTickets[Assignee],A11)</f>
        <v>0</v>
      </c>
      <c r="D11" s="2">
        <f>SUMIF(tblTickets[Assignee],A11,tblTickets[Story Points])</f>
        <v>0</v>
      </c>
      <c r="E11" s="2">
        <f>SUMIFS(tblTickets[Story Points],tblTickets[Assignee],A11,tblTickets[Status],"Done")</f>
        <v>0</v>
      </c>
      <c r="F11" s="2">
        <f t="shared" si="0"/>
        <v>0</v>
      </c>
      <c r="G11" s="13">
        <f t="shared" si="1"/>
        <v>0</v>
      </c>
      <c r="H11" s="2">
        <f>COUNTIFS(tblTickets[Assignee],A11,tblTickets[Status],"In Progress")</f>
        <v>0</v>
      </c>
      <c r="I11" s="2">
        <f>COUNTIFS(tblTickets[Assignee],A11,tblTickets[Status],"Testing")</f>
        <v>0</v>
      </c>
    </row>
    <row r="12" spans="1:9" x14ac:dyDescent="0.2">
      <c r="A12" s="2" t="str" cm="1">
        <f t="array" ref="A12">IFERROR(INDEX(tblTeam[Name],_xlfn.AGGREGATE(15,6,(ROW(tblTeam[Name])-MIN(ROW(tblTeam[Name]))+1)/(tblTeam[Active]="Yes"),ROWS($A$4:A12))),"")</f>
        <v>Mani</v>
      </c>
      <c r="B12" s="2">
        <f>COUNTIFS(tblTickets[Assignee],A12,tblTickets[Status],"&lt;&gt;Done")</f>
        <v>0</v>
      </c>
      <c r="C12" s="2">
        <f>COUNTIF(tblTickets[Assignee],A12)</f>
        <v>0</v>
      </c>
      <c r="D12" s="2">
        <f>SUMIF(tblTickets[Assignee],A12,tblTickets[Story Points])</f>
        <v>0</v>
      </c>
      <c r="E12" s="2">
        <f>SUMIFS(tblTickets[Story Points],tblTickets[Assignee],A12,tblTickets[Status],"Done")</f>
        <v>0</v>
      </c>
      <c r="F12" s="2">
        <f t="shared" si="0"/>
        <v>0</v>
      </c>
      <c r="G12" s="13">
        <f t="shared" si="1"/>
        <v>0</v>
      </c>
      <c r="H12" s="2">
        <f>COUNTIFS(tblTickets[Assignee],A12,tblTickets[Status],"In Progress")</f>
        <v>0</v>
      </c>
      <c r="I12" s="2">
        <f>COUNTIFS(tblTickets[Assignee],A12,tblTickets[Status],"Testing")</f>
        <v>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64A2"/>
  </sheetPr>
  <dimension ref="A1:J23"/>
  <sheetViews>
    <sheetView showGridLines="0" zoomScale="75" zoomScaleNormal="100" workbookViewId="0">
      <pane ySplit="2" topLeftCell="A3" activePane="bottomLeft" state="frozen"/>
      <selection pane="bottomLeft" activeCell="E50" sqref="E50"/>
    </sheetView>
  </sheetViews>
  <sheetFormatPr baseColWidth="10" defaultColWidth="8.6640625" defaultRowHeight="15" x14ac:dyDescent="0.2"/>
  <cols>
    <col min="1" max="8" width="22" customWidth="1"/>
  </cols>
  <sheetData>
    <row r="1" spans="1:10" ht="30" customHeight="1" x14ac:dyDescent="0.2">
      <c r="A1" s="21" t="s">
        <v>481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1" t="s">
        <v>19</v>
      </c>
      <c r="B3" s="1" t="s">
        <v>482</v>
      </c>
      <c r="C3" s="2"/>
      <c r="D3" s="1" t="s">
        <v>27</v>
      </c>
      <c r="E3" s="1" t="s">
        <v>482</v>
      </c>
      <c r="F3" s="2"/>
      <c r="G3" s="1" t="s">
        <v>28</v>
      </c>
      <c r="H3" s="1" t="s">
        <v>482</v>
      </c>
      <c r="I3" s="2"/>
      <c r="J3" s="2"/>
    </row>
    <row r="4" spans="1:10" x14ac:dyDescent="0.2">
      <c r="A4" s="2" t="s">
        <v>8</v>
      </c>
      <c r="B4" s="2">
        <f>COUNTIF(tblTickets[Status],A4)</f>
        <v>150</v>
      </c>
      <c r="C4" s="2"/>
      <c r="D4" s="2" t="s">
        <v>39</v>
      </c>
      <c r="E4" s="2">
        <f>COUNTIF(tblTickets[Type],D4)</f>
        <v>13</v>
      </c>
      <c r="F4" s="2"/>
      <c r="G4" s="2" t="s">
        <v>75</v>
      </c>
      <c r="H4" s="2">
        <f>COUNTIF(tblTickets[Module],G4)</f>
        <v>16</v>
      </c>
      <c r="I4" s="2"/>
      <c r="J4" s="2"/>
    </row>
    <row r="5" spans="1:10" x14ac:dyDescent="0.2">
      <c r="A5" s="2" t="s">
        <v>9</v>
      </c>
      <c r="B5" s="2">
        <f>COUNTIF(tblTickets[Status],A5)</f>
        <v>0</v>
      </c>
      <c r="C5" s="2"/>
      <c r="D5" s="2" t="s">
        <v>45</v>
      </c>
      <c r="E5" s="2">
        <f>COUNTIF(tblTickets[Type],D5)</f>
        <v>34</v>
      </c>
      <c r="F5" s="2"/>
      <c r="G5" s="2" t="s">
        <v>270</v>
      </c>
      <c r="H5" s="2">
        <f>COUNTIF(tblTickets[Module],G5)</f>
        <v>0</v>
      </c>
      <c r="I5" s="2"/>
      <c r="J5" s="2"/>
    </row>
    <row r="6" spans="1:10" x14ac:dyDescent="0.2">
      <c r="A6" s="2" t="s">
        <v>10</v>
      </c>
      <c r="B6" s="2">
        <f>COUNTIF(tblTickets[Status],A6)</f>
        <v>5</v>
      </c>
      <c r="C6" s="2"/>
      <c r="D6" s="2" t="s">
        <v>49</v>
      </c>
      <c r="E6" s="2">
        <f>COUNTIF(tblTickets[Type],D6)</f>
        <v>112</v>
      </c>
      <c r="F6" s="2"/>
      <c r="G6" s="2" t="s">
        <v>328</v>
      </c>
      <c r="H6" s="2">
        <f>COUNTIF(tblTickets[Module],G6)</f>
        <v>0</v>
      </c>
      <c r="I6" s="2"/>
      <c r="J6" s="2"/>
    </row>
    <row r="7" spans="1:10" x14ac:dyDescent="0.2">
      <c r="A7" s="2" t="s">
        <v>11</v>
      </c>
      <c r="B7" s="2">
        <f>COUNTIF(tblTickets[Status],A7)</f>
        <v>0</v>
      </c>
      <c r="C7" s="2"/>
      <c r="D7" s="2" t="s">
        <v>59</v>
      </c>
      <c r="E7" s="2">
        <f>COUNTIF(tblTickets[Type],D7)</f>
        <v>1</v>
      </c>
      <c r="F7" s="2"/>
      <c r="G7" s="2" t="s">
        <v>281</v>
      </c>
      <c r="H7" s="2">
        <f>COUNTIF(tblTickets[Module],G7)</f>
        <v>0</v>
      </c>
      <c r="I7" s="2"/>
      <c r="J7" s="2"/>
    </row>
    <row r="8" spans="1:10" x14ac:dyDescent="0.2">
      <c r="A8" s="2" t="s">
        <v>12</v>
      </c>
      <c r="B8" s="2">
        <f>COUNTIF(tblTickets[Status],A8)</f>
        <v>5</v>
      </c>
      <c r="C8" s="2"/>
      <c r="D8" s="2"/>
      <c r="E8" s="2"/>
      <c r="F8" s="2"/>
      <c r="G8" s="2" t="s">
        <v>258</v>
      </c>
      <c r="H8" s="2">
        <f>COUNTIF(tblTickets[Module],G8)</f>
        <v>0</v>
      </c>
      <c r="I8" s="2"/>
      <c r="J8" s="2"/>
    </row>
    <row r="9" spans="1:10" x14ac:dyDescent="0.2">
      <c r="A9" s="2"/>
      <c r="B9" s="2"/>
      <c r="C9" s="2"/>
      <c r="D9" s="2"/>
      <c r="E9" s="2"/>
      <c r="F9" s="2"/>
      <c r="G9" s="2" t="s">
        <v>260</v>
      </c>
      <c r="H9" s="2">
        <f>COUNTIF(tblTickets[Module],G9)</f>
        <v>0</v>
      </c>
      <c r="I9" s="2"/>
      <c r="J9" s="2"/>
    </row>
    <row r="10" spans="1:10" x14ac:dyDescent="0.2">
      <c r="A10" s="2"/>
      <c r="B10" s="2"/>
      <c r="C10" s="2"/>
      <c r="D10" s="2"/>
      <c r="E10" s="2"/>
      <c r="F10" s="2"/>
      <c r="G10" s="2" t="s">
        <v>380</v>
      </c>
      <c r="H10" s="2">
        <f>COUNTIF(tblTickets[Module],G10)</f>
        <v>6</v>
      </c>
      <c r="I10" s="2"/>
      <c r="J10" s="2"/>
    </row>
    <row r="11" spans="1:10" x14ac:dyDescent="0.2">
      <c r="A11" s="2"/>
      <c r="B11" s="2"/>
      <c r="C11" s="2"/>
      <c r="D11" s="2"/>
      <c r="E11" s="2"/>
      <c r="F11" s="2"/>
      <c r="G11" s="2" t="s">
        <v>402</v>
      </c>
      <c r="H11" s="2">
        <f>COUNTIF(tblTickets[Module],G11)</f>
        <v>12</v>
      </c>
      <c r="I11" s="2"/>
      <c r="J11" s="2"/>
    </row>
    <row r="12" spans="1:10" x14ac:dyDescent="0.2">
      <c r="A12" s="2"/>
      <c r="B12" s="2"/>
      <c r="C12" s="2"/>
      <c r="D12" s="2"/>
      <c r="E12" s="2"/>
      <c r="F12" s="2"/>
      <c r="G12" s="2" t="s">
        <v>398</v>
      </c>
      <c r="H12" s="2">
        <f>COUNTIF(tblTickets[Module],G12)</f>
        <v>1</v>
      </c>
      <c r="I12" s="2"/>
      <c r="J12" s="2"/>
    </row>
    <row r="13" spans="1:10" x14ac:dyDescent="0.2">
      <c r="A13" s="2"/>
      <c r="B13" s="2"/>
      <c r="C13" s="2"/>
      <c r="D13" s="2"/>
      <c r="E13" s="2"/>
      <c r="F13" s="2"/>
      <c r="G13" s="2" t="s">
        <v>200</v>
      </c>
      <c r="H13" s="2">
        <f>COUNTIF(tblTickets[Module],G13)</f>
        <v>5</v>
      </c>
      <c r="I13" s="2"/>
      <c r="J13" s="2"/>
    </row>
    <row r="14" spans="1:10" x14ac:dyDescent="0.2">
      <c r="A14" s="2"/>
      <c r="B14" s="2"/>
      <c r="C14" s="2"/>
      <c r="D14" s="2"/>
      <c r="E14" s="2"/>
      <c r="F14" s="2"/>
      <c r="G14" s="2" t="s">
        <v>130</v>
      </c>
      <c r="H14" s="2">
        <f>COUNTIF(tblTickets[Module],G14)</f>
        <v>6</v>
      </c>
      <c r="I14" s="2"/>
      <c r="J14" s="2"/>
    </row>
    <row r="15" spans="1:10" x14ac:dyDescent="0.2">
      <c r="A15" s="2"/>
      <c r="B15" s="2"/>
      <c r="C15" s="2"/>
      <c r="D15" s="2"/>
      <c r="E15" s="2"/>
      <c r="F15" s="2"/>
      <c r="G15" s="2" t="s">
        <v>211</v>
      </c>
      <c r="H15" s="2">
        <f>COUNTIF(tblTickets[Module],G15)</f>
        <v>18</v>
      </c>
      <c r="I15" s="2"/>
      <c r="J15" s="2"/>
    </row>
    <row r="16" spans="1:10" x14ac:dyDescent="0.2">
      <c r="A16" s="2"/>
      <c r="B16" s="2"/>
      <c r="C16" s="2"/>
      <c r="D16" s="2"/>
      <c r="E16" s="2"/>
      <c r="F16" s="2"/>
      <c r="G16" s="2" t="s">
        <v>144</v>
      </c>
      <c r="H16" s="2">
        <f>COUNTIF(tblTickets[Module],G16)</f>
        <v>20</v>
      </c>
      <c r="I16" s="2"/>
      <c r="J16" s="2"/>
    </row>
    <row r="17" spans="1:10" x14ac:dyDescent="0.2">
      <c r="A17" s="2"/>
      <c r="B17" s="2"/>
      <c r="C17" s="2"/>
      <c r="D17" s="2"/>
      <c r="E17" s="2"/>
      <c r="F17" s="2"/>
      <c r="G17" s="2" t="s">
        <v>113</v>
      </c>
      <c r="H17" s="2">
        <f>COUNTIF(tblTickets[Module],G17)</f>
        <v>1</v>
      </c>
      <c r="I17" s="2"/>
      <c r="J17" s="2"/>
    </row>
    <row r="18" spans="1:10" x14ac:dyDescent="0.2">
      <c r="A18" s="2"/>
      <c r="B18" s="2"/>
      <c r="C18" s="2"/>
      <c r="D18" s="2"/>
      <c r="E18" s="2"/>
      <c r="F18" s="2"/>
      <c r="G18" s="2" t="s">
        <v>117</v>
      </c>
      <c r="H18" s="2">
        <f>COUNTIF(tblTickets[Module],G18)</f>
        <v>4</v>
      </c>
      <c r="I18" s="2"/>
      <c r="J18" s="2"/>
    </row>
    <row r="19" spans="1:10" x14ac:dyDescent="0.2">
      <c r="A19" s="2"/>
      <c r="B19" s="2"/>
      <c r="C19" s="2"/>
      <c r="D19" s="2"/>
      <c r="E19" s="2"/>
      <c r="F19" s="2"/>
      <c r="G19" s="2" t="s">
        <v>365</v>
      </c>
      <c r="H19" s="2">
        <f>COUNTIF(tblTickets[Module],G19)</f>
        <v>5</v>
      </c>
      <c r="I19" s="2"/>
      <c r="J19" s="2"/>
    </row>
    <row r="20" spans="1:10" x14ac:dyDescent="0.2">
      <c r="A20" s="2"/>
      <c r="B20" s="2"/>
      <c r="C20" s="2"/>
      <c r="D20" s="2"/>
      <c r="E20" s="2"/>
      <c r="F20" s="2"/>
      <c r="G20" s="2" t="s">
        <v>40</v>
      </c>
      <c r="H20" s="2">
        <f>COUNTIF(tblTickets[Module],G20)</f>
        <v>7</v>
      </c>
      <c r="I20" s="2"/>
      <c r="J20" s="2"/>
    </row>
    <row r="21" spans="1:10" x14ac:dyDescent="0.2">
      <c r="A21" s="2"/>
      <c r="B21" s="2"/>
      <c r="C21" s="2"/>
      <c r="D21" s="2"/>
      <c r="E21" s="2"/>
      <c r="F21" s="2"/>
      <c r="G21" s="2" t="s">
        <v>436</v>
      </c>
      <c r="H21" s="2">
        <f>COUNTIF(tblTickets[Module],G21)</f>
        <v>12</v>
      </c>
      <c r="I21" s="2"/>
      <c r="J21" s="2"/>
    </row>
    <row r="22" spans="1:10" x14ac:dyDescent="0.2">
      <c r="A22" s="2"/>
      <c r="B22" s="2"/>
      <c r="C22" s="2"/>
      <c r="D22" s="2"/>
      <c r="E22" s="2"/>
      <c r="F22" s="2"/>
      <c r="G22" s="2" t="s">
        <v>432</v>
      </c>
      <c r="H22" s="2">
        <f>COUNTIF(tblTickets[Module],G22)</f>
        <v>1</v>
      </c>
      <c r="I22" s="2"/>
      <c r="J22" s="2"/>
    </row>
    <row r="23" spans="1:10" x14ac:dyDescent="0.2">
      <c r="A23" s="2"/>
      <c r="B23" s="2"/>
      <c r="C23" s="2"/>
      <c r="D23" s="2"/>
      <c r="E23" s="2"/>
      <c r="F23" s="2"/>
      <c r="G23" s="2" t="s">
        <v>65</v>
      </c>
      <c r="H23" s="2">
        <f>COUNTIF(tblTickets[Module],G23)</f>
        <v>3</v>
      </c>
      <c r="I23" s="2"/>
      <c r="J23" s="2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66666"/>
  </sheetPr>
  <dimension ref="A1:G21"/>
  <sheetViews>
    <sheetView showGridLines="0" zoomScaleNormal="100" workbookViewId="0">
      <pane ySplit="1" topLeftCell="A2" activePane="bottomLeft" state="frozen"/>
      <selection pane="bottomLeft" activeCell="G20" sqref="G20"/>
    </sheetView>
  </sheetViews>
  <sheetFormatPr baseColWidth="10" defaultColWidth="8.6640625" defaultRowHeight="15" x14ac:dyDescent="0.2"/>
  <cols>
    <col min="1" max="1" width="18" customWidth="1"/>
    <col min="3" max="3" width="18" customWidth="1"/>
    <col min="5" max="5" width="18" customWidth="1"/>
    <col min="7" max="7" width="18" customWidth="1"/>
  </cols>
  <sheetData>
    <row r="1" spans="1:7" x14ac:dyDescent="0.2">
      <c r="A1" s="5" t="s">
        <v>483</v>
      </c>
      <c r="B1" s="2"/>
      <c r="C1" s="5" t="s">
        <v>484</v>
      </c>
      <c r="D1" s="2"/>
      <c r="E1" s="5" t="s">
        <v>33</v>
      </c>
      <c r="F1" s="2"/>
      <c r="G1" s="5" t="s">
        <v>485</v>
      </c>
    </row>
    <row r="2" spans="1:7" x14ac:dyDescent="0.2">
      <c r="A2" s="2" t="s">
        <v>39</v>
      </c>
      <c r="B2" s="2"/>
      <c r="C2" s="2" t="s">
        <v>8</v>
      </c>
      <c r="D2" s="2"/>
      <c r="E2" s="2">
        <v>0</v>
      </c>
      <c r="F2" s="2"/>
      <c r="G2" s="2" t="s">
        <v>75</v>
      </c>
    </row>
    <row r="3" spans="1:7" x14ac:dyDescent="0.2">
      <c r="A3" s="2" t="s">
        <v>45</v>
      </c>
      <c r="B3" s="2"/>
      <c r="C3" s="2" t="s">
        <v>9</v>
      </c>
      <c r="D3" s="2"/>
      <c r="E3" s="2">
        <v>1</v>
      </c>
      <c r="F3" s="2"/>
      <c r="G3" s="2" t="s">
        <v>504</v>
      </c>
    </row>
    <row r="4" spans="1:7" x14ac:dyDescent="0.2">
      <c r="A4" s="2" t="s">
        <v>49</v>
      </c>
      <c r="B4" s="2"/>
      <c r="C4" s="2" t="s">
        <v>10</v>
      </c>
      <c r="D4" s="2"/>
      <c r="E4" s="2">
        <v>2</v>
      </c>
      <c r="F4" s="2"/>
      <c r="G4" s="2" t="s">
        <v>505</v>
      </c>
    </row>
    <row r="5" spans="1:7" x14ac:dyDescent="0.2">
      <c r="A5" s="2" t="s">
        <v>59</v>
      </c>
      <c r="B5" s="2"/>
      <c r="C5" s="2" t="s">
        <v>11</v>
      </c>
      <c r="D5" s="2"/>
      <c r="E5" s="2">
        <v>3</v>
      </c>
      <c r="F5" s="2"/>
      <c r="G5" s="2" t="s">
        <v>506</v>
      </c>
    </row>
    <row r="6" spans="1:7" x14ac:dyDescent="0.2">
      <c r="A6" s="2" t="s">
        <v>502</v>
      </c>
      <c r="B6" s="2"/>
      <c r="C6" s="2" t="s">
        <v>12</v>
      </c>
      <c r="D6" s="2"/>
      <c r="E6" s="2">
        <v>5</v>
      </c>
      <c r="F6" s="2"/>
      <c r="G6" s="2" t="s">
        <v>507</v>
      </c>
    </row>
    <row r="7" spans="1:7" x14ac:dyDescent="0.2">
      <c r="A7" s="2"/>
      <c r="B7" s="2"/>
      <c r="C7" s="2" t="s">
        <v>501</v>
      </c>
      <c r="D7" s="2"/>
      <c r="E7" s="2">
        <v>8</v>
      </c>
      <c r="F7" s="2"/>
      <c r="G7" s="2" t="s">
        <v>508</v>
      </c>
    </row>
    <row r="8" spans="1:7" x14ac:dyDescent="0.2">
      <c r="A8" s="2"/>
      <c r="B8" s="2"/>
      <c r="C8" s="2"/>
      <c r="D8" s="2"/>
      <c r="E8" s="2">
        <v>13</v>
      </c>
      <c r="F8" s="2"/>
      <c r="G8" s="2" t="s">
        <v>380</v>
      </c>
    </row>
    <row r="9" spans="1:7" x14ac:dyDescent="0.2">
      <c r="A9" s="2"/>
      <c r="B9" s="2"/>
      <c r="C9" s="2"/>
      <c r="D9" s="2"/>
      <c r="E9" s="2">
        <v>21</v>
      </c>
      <c r="F9" s="2"/>
      <c r="G9" s="2" t="s">
        <v>402</v>
      </c>
    </row>
    <row r="10" spans="1:7" x14ac:dyDescent="0.2">
      <c r="A10" s="2"/>
      <c r="B10" s="2"/>
      <c r="C10" s="2"/>
      <c r="D10" s="2"/>
      <c r="E10" s="2"/>
      <c r="F10" s="2"/>
      <c r="G10" s="2" t="s">
        <v>398</v>
      </c>
    </row>
    <row r="11" spans="1:7" x14ac:dyDescent="0.2">
      <c r="A11" s="2"/>
      <c r="B11" s="2"/>
      <c r="C11" s="2"/>
      <c r="D11" s="2"/>
      <c r="E11" s="2"/>
      <c r="F11" s="2"/>
      <c r="G11" s="2" t="s">
        <v>503</v>
      </c>
    </row>
    <row r="12" spans="1:7" x14ac:dyDescent="0.2">
      <c r="A12" s="2"/>
      <c r="B12" s="2"/>
      <c r="C12" s="2"/>
      <c r="D12" s="2"/>
      <c r="E12" s="2"/>
      <c r="F12" s="2"/>
      <c r="G12" s="2" t="s">
        <v>130</v>
      </c>
    </row>
    <row r="13" spans="1:7" x14ac:dyDescent="0.2">
      <c r="A13" s="2"/>
      <c r="B13" s="2"/>
      <c r="C13" s="2"/>
      <c r="D13" s="2"/>
      <c r="E13" s="2"/>
      <c r="F13" s="2"/>
      <c r="G13" s="2" t="s">
        <v>211</v>
      </c>
    </row>
    <row r="14" spans="1:7" x14ac:dyDescent="0.2">
      <c r="A14" s="2"/>
      <c r="B14" s="2"/>
      <c r="C14" s="2"/>
      <c r="D14" s="2"/>
      <c r="E14" s="2"/>
      <c r="F14" s="2"/>
      <c r="G14" s="2" t="s">
        <v>144</v>
      </c>
    </row>
    <row r="15" spans="1:7" x14ac:dyDescent="0.2">
      <c r="A15" s="2"/>
      <c r="B15" s="2"/>
      <c r="C15" s="2"/>
      <c r="D15" s="2"/>
      <c r="E15" s="2"/>
      <c r="F15" s="2"/>
      <c r="G15" s="2" t="s">
        <v>113</v>
      </c>
    </row>
    <row r="16" spans="1:7" x14ac:dyDescent="0.2">
      <c r="A16" s="2"/>
      <c r="B16" s="2"/>
      <c r="C16" s="2"/>
      <c r="D16" s="2"/>
      <c r="E16" s="2"/>
      <c r="F16" s="2"/>
      <c r="G16" s="2" t="s">
        <v>117</v>
      </c>
    </row>
    <row r="17" spans="1:7" x14ac:dyDescent="0.2">
      <c r="A17" s="2"/>
      <c r="B17" s="2"/>
      <c r="C17" s="2"/>
      <c r="D17" s="2"/>
      <c r="E17" s="2"/>
      <c r="F17" s="2"/>
      <c r="G17" s="2" t="s">
        <v>365</v>
      </c>
    </row>
    <row r="18" spans="1:7" x14ac:dyDescent="0.2">
      <c r="A18" s="2"/>
      <c r="B18" s="2"/>
      <c r="C18" s="2"/>
      <c r="D18" s="2"/>
      <c r="E18" s="2"/>
      <c r="F18" s="2"/>
      <c r="G18" s="2" t="s">
        <v>40</v>
      </c>
    </row>
    <row r="19" spans="1:7" x14ac:dyDescent="0.2">
      <c r="A19" s="2"/>
      <c r="B19" s="2"/>
      <c r="C19" s="2"/>
      <c r="D19" s="2"/>
      <c r="E19" s="2"/>
      <c r="F19" s="2"/>
      <c r="G19" s="2" t="s">
        <v>432</v>
      </c>
    </row>
    <row r="20" spans="1:7" x14ac:dyDescent="0.2">
      <c r="A20" s="2"/>
      <c r="B20" s="2"/>
      <c r="C20" s="2"/>
      <c r="D20" s="2"/>
      <c r="E20" s="2"/>
      <c r="F20" s="2"/>
      <c r="G20" s="2" t="s">
        <v>65</v>
      </c>
    </row>
    <row r="21" spans="1:7" x14ac:dyDescent="0.2">
      <c r="A21" s="2"/>
      <c r="B21" s="2"/>
      <c r="C21" s="2"/>
      <c r="D21" s="2"/>
      <c r="E21" s="2"/>
      <c r="F21" s="2"/>
    </row>
  </sheetData>
  <dataValidations count="1">
    <dataValidation type="list" allowBlank="1" showInputMessage="1" showErrorMessage="1" sqref="C1" xr:uid="{DC84CCD5-2924-B241-B617-5E0F9DE0456A}">
      <formula1>"$C$2:$C$7"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9999"/>
  </sheetPr>
  <dimension ref="A1:E9"/>
  <sheetViews>
    <sheetView showGridLines="0" zoomScaleNormal="100" workbookViewId="0">
      <selection sqref="A1:E1"/>
    </sheetView>
  </sheetViews>
  <sheetFormatPr baseColWidth="10" defaultColWidth="8.6640625" defaultRowHeight="15" x14ac:dyDescent="0.2"/>
  <cols>
    <col min="1" max="1" width="32" customWidth="1"/>
    <col min="2" max="2" width="90" customWidth="1"/>
  </cols>
  <sheetData>
    <row r="1" spans="1:5" ht="30" customHeight="1" x14ac:dyDescent="0.2">
      <c r="A1" s="21" t="s">
        <v>486</v>
      </c>
      <c r="B1" s="21"/>
      <c r="C1" s="21"/>
      <c r="D1" s="21"/>
      <c r="E1" s="21"/>
    </row>
    <row r="2" spans="1:5" x14ac:dyDescent="0.2">
      <c r="A2" s="2"/>
      <c r="B2" s="2"/>
      <c r="C2" s="2"/>
      <c r="D2" s="2"/>
      <c r="E2" s="2"/>
    </row>
    <row r="3" spans="1:5" ht="36" customHeight="1" x14ac:dyDescent="0.2">
      <c r="A3" s="14" t="s">
        <v>487</v>
      </c>
      <c r="B3" s="15" t="s">
        <v>488</v>
      </c>
      <c r="C3" s="2"/>
      <c r="D3" s="2"/>
      <c r="E3" s="2"/>
    </row>
    <row r="4" spans="1:5" ht="36" customHeight="1" x14ac:dyDescent="0.2">
      <c r="A4" s="14" t="s">
        <v>489</v>
      </c>
      <c r="B4" s="15" t="s">
        <v>490</v>
      </c>
      <c r="C4" s="2"/>
      <c r="D4" s="2"/>
      <c r="E4" s="2"/>
    </row>
    <row r="5" spans="1:5" ht="36" customHeight="1" x14ac:dyDescent="0.2">
      <c r="A5" s="14" t="s">
        <v>491</v>
      </c>
      <c r="B5" s="15" t="s">
        <v>492</v>
      </c>
      <c r="C5" s="2"/>
      <c r="D5" s="2"/>
      <c r="E5" s="2"/>
    </row>
    <row r="6" spans="1:5" ht="36" customHeight="1" x14ac:dyDescent="0.2">
      <c r="A6" s="14" t="s">
        <v>493</v>
      </c>
      <c r="B6" s="15" t="s">
        <v>494</v>
      </c>
      <c r="C6" s="2"/>
      <c r="D6" s="2"/>
      <c r="E6" s="2"/>
    </row>
    <row r="7" spans="1:5" ht="36" customHeight="1" x14ac:dyDescent="0.2">
      <c r="A7" s="14" t="s">
        <v>495</v>
      </c>
      <c r="B7" s="15" t="s">
        <v>496</v>
      </c>
      <c r="C7" s="2"/>
      <c r="D7" s="2"/>
      <c r="E7" s="2"/>
    </row>
    <row r="8" spans="1:5" ht="36" customHeight="1" x14ac:dyDescent="0.2">
      <c r="A8" s="14" t="s">
        <v>497</v>
      </c>
      <c r="B8" s="15" t="s">
        <v>498</v>
      </c>
      <c r="C8" s="2"/>
      <c r="D8" s="2"/>
      <c r="E8" s="2"/>
    </row>
    <row r="9" spans="1:5" ht="36" customHeight="1" x14ac:dyDescent="0.2">
      <c r="A9" s="14" t="s">
        <v>499</v>
      </c>
      <c r="B9" s="15" t="s">
        <v>500</v>
      </c>
      <c r="C9" s="2"/>
      <c r="D9" s="2"/>
      <c r="E9" s="2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 Dashboard</vt:lpstr>
      <vt:lpstr>Tickets</vt:lpstr>
      <vt:lpstr>Team Members</vt:lpstr>
      <vt:lpstr>Kanban Board</vt:lpstr>
      <vt:lpstr>Workload Dashboard</vt:lpstr>
      <vt:lpstr>Reports &amp; Charts</vt:lpstr>
      <vt:lpstr>Lookup Values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Sudheer K Padmanabhuni</cp:lastModifiedBy>
  <cp:revision>1</cp:revision>
  <dcterms:created xsi:type="dcterms:W3CDTF">2026-07-19T17:27:34Z</dcterms:created>
  <dcterms:modified xsi:type="dcterms:W3CDTF">2026-07-24T15:48:53Z</dcterms:modified>
  <dc:language>en-US</dc:language>
</cp:coreProperties>
</file>